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5e70b4b94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8fd7f798cb9403d"/>
    <x:sheet xmlns:r="http://schemas.openxmlformats.org/officeDocument/2006/relationships" name="annual_data" sheetId="2" r:id="R17c582da4d6f4477"/>
    <x:sheet xmlns:r="http://schemas.openxmlformats.org/officeDocument/2006/relationships" name="quarterly_data" sheetId="3" r:id="Rb72292fbad024615"/>
    <x:sheet xmlns:r="http://schemas.openxmlformats.org/officeDocument/2006/relationships" name="business_data" sheetId="4" r:id="R29ca8eca96d1426f"/>
    <x:sheet xmlns:r="http://schemas.openxmlformats.org/officeDocument/2006/relationships" name="指标与字段" sheetId="5" r:id="R7f7c3b8fdd3941e6"/>
    <x:sheet xmlns:r="http://schemas.openxmlformats.org/officeDocument/2006/relationships" name="核验" sheetId="6" r:id="Re3a7f55728f246eb"/>
    <x:sheet xmlns:r="http://schemas.openxmlformats.org/officeDocument/2006/relationships" name="来源" sheetId="7" r:id="Rabfbf63843ca4685"/>
  </x:sheets>
</x:workbook>
</file>

<file path=xl/comments1.xml><?xml version="1.0" encoding="utf-8"?>
<x:comments xmlns:x="http://schemas.openxmlformats.org/spreadsheetml/2006/main">
  <x:authors>
    <x:author>tc={DA188069-FB5C-4966-9718-F8289ECC0654}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原始数据金额单位：人民币元；页码是PDF物理页（从1开始）。来源见同一行 source_url、source_page。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tc={5277234A-707B-4F17-9195-8FCD0A2148EA}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原始数据金额单位：人民币元；页码是PDF物理页（从1开始）。来源见同一行 source_url、source_page。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tc={CD5D963E-6A0A-4AD1-BD26-411E0017B59E}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原始数据金额单位：人民币元；页码是PDF物理页（从1开始）。来源见同一行 source_url、source_page。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&quot;-&quot;"/>
    <x:numFmt numFmtId="201" formatCode="#,##0.00"/>
    <x:numFmt numFmtId="202" formatCode="0.00%"/>
  </x:numFmts>
  <x:fonts count="9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10"/>
      <x:color rgb="FF155CB4"/>
      <x:name val="Carlito"/>
    </x:font>
    <x:font>
      <x:b/>
      <x:sz val="20"/>
      <x:color rgb="FFFFFFFF"/>
      <x:name val="Carlito"/>
    </x:font>
    <x:font>
      <x:b/>
      <x:sz val="11"/>
      <x:color rgb="FF087F70"/>
      <x:name val="Carlito"/>
    </x:font>
    <x:font>
      <x:sz val="11"/>
      <x:color rgb="FF9A4A18"/>
      <x:name val="Carlito"/>
    </x:font>
    <x:font>
      <x:sz val="11"/>
      <x:color rgb="FF53677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4"/>
      </x:patternFill>
    </x:fill>
    <x:fill>
      <x:patternFill patternType="solid">
        <x:fgColor rgb="FFE4F3F0"/>
      </x:patternFill>
    </x:fill>
    <x:fill>
      <x:patternFill patternType="solid">
        <x:fgColor rgb="FFEFF4F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A22A23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bcea9f72a48d0" /><Relationship Type="http://schemas.openxmlformats.org/officeDocument/2006/relationships/theme" Target="/xl/theme/theme1.xml" Id="R7c1d96185527462d" /><Relationship Type="http://schemas.openxmlformats.org/officeDocument/2006/relationships/sharedStrings" Target="/xl/sharedStrings.xml" Id="Re5169b61b800445d" /><Relationship Type="http://schemas.openxmlformats.org/officeDocument/2006/relationships/worksheet" Target="/xl/worksheets/sheet1.xml" Id="R18fd7f798cb9403d" /><Relationship Type="http://schemas.openxmlformats.org/officeDocument/2006/relationships/worksheet" Target="/xl/worksheets/sheet2.xml" Id="R17c582da4d6f4477" /><Relationship Type="http://schemas.openxmlformats.org/officeDocument/2006/relationships/worksheet" Target="/xl/worksheets/sheet3.xml" Id="Rb72292fbad024615" /><Relationship Type="http://schemas.openxmlformats.org/officeDocument/2006/relationships/worksheet" Target="/xl/worksheets/sheet4.xml" Id="R29ca8eca96d1426f" /><Relationship Type="http://schemas.openxmlformats.org/officeDocument/2006/relationships/worksheet" Target="/xl/worksheets/sheet5.xml" Id="R7f7c3b8fdd3941e6" /><Relationship Type="http://schemas.openxmlformats.org/officeDocument/2006/relationships/worksheet" Target="/xl/worksheets/sheet6.xml" Id="Re3a7f55728f246eb" /><Relationship Type="http://schemas.openxmlformats.org/officeDocument/2006/relationships/worksheet" Target="/xl/worksheets/sheet7.xml" Id="Rabfbf63843ca4685" /><Relationship Type="http://schemas.microsoft.com/office/2017/10/relationships/person" Target="/xl/persons/person.xml" Id="R03985415e4964932" /></Relationships>
</file>

<file path=xl/persons/person.xml><?xml version="1.0" encoding="utf-8"?>
<xltc:personList xmlns:xltc="http://schemas.microsoft.com/office/spreadsheetml/2018/threadedcomments">
  <xltc:person displayName="徐毅鹏" id="{124985D8-BD42-4CD2-A246-5EB525C08CE8}"/>
</xltc:personList>
</file>

<file path=xl/tables/table1.xml><?xml version="1.0" encoding="utf-8"?>
<x:table xmlns:x="http://schemas.openxmlformats.org/spreadsheetml/2006/main" id="1" name="annual_dataTable" displayName="annual_dataTable" ref="A1:N45" headerRowCount="1" totalsRowCount="0" totalsRowShown="0">
  <x:tableColumns count="14">
    <x:tableColumn id="1" name="period"/>
    <x:tableColumn id="2" name="business_unit"/>
    <x:tableColumn id="3" name="metric"/>
    <x:tableColumn id="4" name="value"/>
    <x:tableColumn id="5" name="dataset_type"/>
    <x:tableColumn id="6" name="company_code"/>
    <x:tableColumn id="7" name="currency"/>
    <x:tableColumn id="8" name="unit"/>
    <x:tableColumn id="9" name="source_report_year"/>
    <x:tableColumn id="10" name="source_page"/>
    <x:tableColumn id="11" name="source_url"/>
    <x:tableColumn id="12" name="basis"/>
    <x:tableColumn id="13" name="data_kind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rterly_dataTable" displayName="quarterly_dataTable" ref="A1:N65" headerRowCount="1" totalsRowCount="0" totalsRowShown="0">
  <x:tableColumns count="14">
    <x:tableColumn id="1" name="period"/>
    <x:tableColumn id="2" name="business_unit"/>
    <x:tableColumn id="3" name="metric"/>
    <x:tableColumn id="4" name="value"/>
    <x:tableColumn id="5" name="dataset_type"/>
    <x:tableColumn id="6" name="company_code"/>
    <x:tableColumn id="7" name="currency"/>
    <x:tableColumn id="8" name="unit"/>
    <x:tableColumn id="9" name="source_report_year"/>
    <x:tableColumn id="10" name="source_page"/>
    <x:tableColumn id="11" name="source_url"/>
    <x:tableColumn id="12" name="basis"/>
    <x:tableColumn id="13" name="data_kind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_dataTable" displayName="business_dataTable" ref="A1:N25" headerRowCount="1" totalsRowCount="0" totalsRowShown="0">
  <x:tableColumns count="14">
    <x:tableColumn id="1" name="period"/>
    <x:tableColumn id="2" name="business_unit"/>
    <x:tableColumn id="3" name="metric"/>
    <x:tableColumn id="4" name="value"/>
    <x:tableColumn id="5" name="dataset_type"/>
    <x:tableColumn id="6" name="company_code"/>
    <x:tableColumn id="7" name="currency"/>
    <x:tableColumn id="8" name="unit"/>
    <x:tableColumn id="9" name="source_report_year"/>
    <x:tableColumn id="10" name="source_page"/>
    <x:tableColumn id="11" name="source_url"/>
    <x:tableColumn id="12" name="basis"/>
    <x:tableColumn id="13" name="data_kind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2" dT="2026-08-30T13:58:18.809" personId="{124985D8-BD42-4CD2-A246-5EB525C08CE8}" id="{DA188069-FB5C-4966-9718-F8289ECC0654}">
    <xltc:text>原始数据金额单位：人民币元；页码是PDF物理页（从1开始）。来源见同一行 source_url、source_page。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2" dT="2026-08-30T13:58:18.848" personId="{124985D8-BD42-4CD2-A246-5EB525C08CE8}" id="{5277234A-707B-4F17-9195-8FCD0A2148EA}">
    <xltc:text>原始数据金额单位：人民币元；页码是PDF物理页（从1开始）。来源见同一行 source_url、source_page。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D2" dT="2026-08-30T13:58:18.871" personId="{124985D8-BD42-4CD2-A246-5EB525C08CE8}" id="{CD5D963E-6A0A-4AD1-BD26-411E0017B59E}">
    <xltc:text>原始数据金额单位：人民币元；页码是PDF物理页（从1开始）。来源见同一行 source_url、source_page。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67a1e207f0642e3" /><Relationship Type="http://schemas.openxmlformats.org/officeDocument/2006/relationships/vmlDrawing" Target="/xl/drawings/vmldrawing.vml" Id="Rf707fbd52ca04343" /><Relationship Type="http://schemas.microsoft.com/office/2017/10/relationships/threadedComment" Target="/xl/threadedcomments/threadedcomment.xml" Id="Ra4b902feab4d40b0" /><Relationship Type="http://schemas.openxmlformats.org/officeDocument/2006/relationships/table" Target="/xl/tables/table1.xml" Id="R49b2763011f14d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2c1061981e174e04" /><Relationship Type="http://schemas.openxmlformats.org/officeDocument/2006/relationships/vmlDrawing" Target="/xl/drawings/vmldrawing2.vml" Id="R66cce6c4813e43c4" /><Relationship Type="http://schemas.microsoft.com/office/2017/10/relationships/threadedComment" Target="/xl/threadedcomments/threadedcomment2.xml" Id="Rd16b556034564f5c" /><Relationship Type="http://schemas.openxmlformats.org/officeDocument/2006/relationships/table" Target="/xl/tables/table2.xml" Id="Rc54474bfdb1342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78629f8282794576" /><Relationship Type="http://schemas.openxmlformats.org/officeDocument/2006/relationships/vmlDrawing" Target="/xl/drawings/vmldrawing3.vml" Id="R2b9b7df2394d4f5e" /><Relationship Type="http://schemas.microsoft.com/office/2017/10/relationships/threadedComment" Target="/xl/threadedcomments/threadedcomment3.xml" Id="R82bcaf437e094c27" /><Relationship Type="http://schemas.openxmlformats.org/officeDocument/2006/relationships/table" Target="/xl/tables/table3.xml" Id="R7a32f9e6dd11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6" customHeight="1">
      <x:c r="A1" s="9" t="str">
        <x:v>吉宏股份 | 2022-2025 公开经营数据包</x:v>
      </x:c>
      <x:c r="B1" s="9"/>
      <x:c r="C1" s="9"/>
      <x:c r="D1" s="9"/>
      <x:c r="E1" s="9"/>
      <x:c r="F1" s="9"/>
      <x:c r="G1" s="9"/>
    </x:row>
    <x:row r="2" ht="26" customHeight="1">
      <x:c r="A2" s="9"/>
      <x:c r="B2" s="9"/>
      <x:c r="C2" s="9"/>
      <x:c r="D2" s="9"/>
      <x:c r="E2" s="9"/>
      <x:c r="F2" s="9"/>
      <x:c r="G2" s="9"/>
    </x:row>
    <x:row r="3">
      <x:c r="A3" t="str">
        <x:v>厦门吉宏科技股份有限公司 · 002803.SZ · v1.0 · 整理日期 2026-08-30</x:v>
      </x:c>
    </x:row>
    <x:row r="5" ht="30" customHeight="1">
      <x:c r="A5" s="11" t="str">
        <x:v>真实公开披露 / 132项指标记录 / 4个年度 / 16个季度 / 12条年度业务分类</x:v>
      </x:c>
      <x:c r="B5" s="11"/>
      <x:c r="C5" s="11"/>
      <x:c r="D5" s="11"/>
      <x:c r="E5" s="11"/>
      <x:c r="F5" s="11"/>
      <x:c r="G5" s="11"/>
    </x:row>
    <x:row r="7" ht="40" customHeight="1">
      <x:c r="A7" s="13" t="str">
        <x:v>1. 采用当年原披露口径 as_reported，并非按最新年报重述的可比历史序列。</x:v>
      </x:c>
      <x:c r="B7" s="13"/>
      <x:c r="C7" s="13"/>
      <x:c r="D7" s="13"/>
      <x:c r="E7" s="13"/>
      <x:c r="F7" s="13"/>
      <x:c r="G7" s="13"/>
    </x:row>
    <x:row r="8" ht="56" customHeight="1">
      <x:c r="A8" s="13" t="str">
        <x:v>2. 2022年经营现金流：原年报为372,841,176.49元；2023/2024年报比较数为390,955,098.53元，相差18,113,922.04元。本包保留原值，不把差异分摊到季度；跨年分析须说明版本差异。</x:v>
      </x:c>
      <x:c r="B8" s="13"/>
      <x:c r="C8" s="13"/>
      <x:c r="D8" s="13"/>
      <x:c r="E8" s="13"/>
      <x:c r="F8" s="13"/>
      <x:c r="G8" s="13"/>
    </x:row>
    <x:row r="9" ht="40" customHeight="1">
      <x:c r="A9" s="13" t="str">
        <x:v>3. 2022年互联网业务含跨境电商和互联网营销广告，不等于2023-2025年电商业务。不得将两个业务分类直接同比；原年报业务分类全部保留。</x:v>
      </x:c>
      <x:c r="B9" s="13"/>
      <x:c r="C9" s="13"/>
      <x:c r="D9" s="13"/>
      <x:c r="E9" s="13"/>
      <x:c r="F9" s="13"/>
      <x:c r="G9" s="13"/>
    </x:row>
    <x:row r="10" ht="40" customHeight="1">
      <x:c r="A10" s="15" t="str">
        <x:v>4. 真实公开年报汇总，不是公司内部订单。无订单数、退款、SKU成本、流量或广告归因数据；缺失不等于零。</x:v>
      </x:c>
      <x:c r="B10" s="15"/>
      <x:c r="C10" s="15"/>
      <x:c r="D10" s="15"/>
      <x:c r="E10" s="15"/>
      <x:c r="F10" s="15"/>
      <x:c r="G10" s="15"/>
    </x:row>
    <x:row r="11" ht="40" customHeight="1">
      <x:c r="A11" s="15" t="str">
        <x:v>5. 毛利=营业收入-营业成本；毛利不等于净利润，也不同于模拟订单的商品贡献利润。销售费用不等于纯广告费。</x:v>
      </x:c>
      <x:c r="B11" s="15"/>
      <x:c r="C11" s="15"/>
      <x:c r="D11" s="15"/>
      <x:c r="E11" s="15"/>
      <x:c r="F11" s="15"/>
      <x:c r="G11" s="15"/>
    </x:row>
    <x:row r="12" ht="40" customHeight="1">
      <x:c r="A12" s="15" t="str">
        <x:v>6. 合并净利润与归母净利润分开存储；季度披露的是归母净利润，不是合并净利润。年度、季度、业务汇总禁止相加。</x:v>
      </x:c>
      <x:c r="B12" s="15"/>
      <x:c r="C12" s="15"/>
      <x:c r="D12" s="15"/>
      <x:c r="E12" s="15"/>
      <x:c r="F12" s="15"/>
      <x:c r="G12" s="15"/>
    </x:row>
    <x:row r="15" ht="34" customHeight="1">
      <x:c r="A15" s="17" t="str">
        <x:v>年度</x:v>
      </x:c>
      <x:c r="B15" s="17" t="str">
        <x:v>营业收入 / 元</x:v>
      </x:c>
      <x:c r="C15" s="17" t="str">
        <x:v>营业成本 / 元</x:v>
      </x:c>
      <x:c r="D15" s="17" t="str">
        <x:v>毛利 / 元</x:v>
      </x:c>
      <x:c r="E15" s="17" t="str">
        <x:v>毛利率</x:v>
      </x:c>
      <x:c r="F15" s="17" t="str">
        <x:v>归母净利润 / 元</x:v>
      </x:c>
      <x:c r="G15" s="17" t="str">
        <x:v>收入同比</x:v>
      </x:c>
    </x:row>
    <x:row r="16" ht="30" customHeight="1">
      <x:c r="A16" t="n">
        <x:v>2022</x:v>
      </x:c>
      <x:c r="B16" s="18" t="n">
        <x:f>SUMIFS('annual_data'!$D$2:$D$45,'annual_data'!$A$2:$A$45,A16,'annual_data'!$C$2:$C$45,"revenue")</x:f>
        <x:v>5375883625.69</x:v>
      </x:c>
      <x:c r="C16" s="18" t="n">
        <x:f>SUMIFS('annual_data'!$D$2:$D$45,'annual_data'!$A$2:$A$45,A16,'annual_data'!$C$2:$C$45,"cost_of_revenue")</x:f>
        <x:v>3188529759.65</x:v>
      </x:c>
      <x:c r="D16" s="18" t="n">
        <x:f>B16-C16</x:f>
        <x:v>2187353866.0399995</x:v>
      </x:c>
      <x:c r="E16" s="19" t="n">
        <x:f>IF(B16=0,"",D16/B16)</x:f>
        <x:v>0.4068826668023809</x:v>
      </x:c>
      <x:c r="F16" s="18" t="n">
        <x:f>SUMIFS('annual_data'!$D$2:$D$45,'annual_data'!$A$2:$A$45,A16,'annual_data'!$C$2:$C$45,"net_profit_parent")</x:f>
        <x:v>183979897.51</x:v>
      </x:c>
      <x:c r="G16" t="str">
        <x:v>无前期数据</x:v>
      </x:c>
    </x:row>
    <x:row r="17" ht="30" customHeight="1">
      <x:c r="A17" t="n">
        <x:v>2023</x:v>
      </x:c>
      <x:c r="B17" s="18" t="n">
        <x:f>SUMIFS('annual_data'!$D$2:$D$45,'annual_data'!$A$2:$A$45,A17,'annual_data'!$C$2:$C$45,"revenue")</x:f>
        <x:v>6694680652.34</x:v>
      </x:c>
      <x:c r="C17" s="18" t="n">
        <x:f>SUMIFS('annual_data'!$D$2:$D$45,'annual_data'!$A$2:$A$45,A17,'annual_data'!$C$2:$C$45,"cost_of_revenue")</x:f>
        <x:v>3570914036.82</x:v>
      </x:c>
      <x:c r="D17" s="18" t="n">
        <x:f>B17-C17</x:f>
        <x:v>3123766615.52</x:v>
      </x:c>
      <x:c r="E17" s="19" t="n">
        <x:f>IF(B17=0,"",D17/B17)</x:f>
        <x:v>0.46660427550463457</x:v>
      </x:c>
      <x:c r="F17" s="18" t="n">
        <x:f>SUMIFS('annual_data'!$D$2:$D$45,'annual_data'!$A$2:$A$45,A17,'annual_data'!$C$2:$C$45,"net_profit_parent")</x:f>
        <x:v>345098588.03</x:v>
      </x:c>
      <x:c r="G17" s="19" t="n">
        <x:f>IF(B16=0,"",(B17-B16)/ABS(B16))</x:f>
        <x:v>0.245317257305906</x:v>
      </x:c>
    </x:row>
    <x:row r="18" ht="30" customHeight="1">
      <x:c r="A18" t="n">
        <x:v>2024</x:v>
      </x:c>
      <x:c r="B18" s="18" t="n">
        <x:f>SUMIFS('annual_data'!$D$2:$D$45,'annual_data'!$A$2:$A$45,A18,'annual_data'!$C$2:$C$45,"revenue")</x:f>
        <x:v>5529258572.55</x:v>
      </x:c>
      <x:c r="C18" s="18" t="n">
        <x:f>SUMIFS('annual_data'!$D$2:$D$45,'annual_data'!$A$2:$A$45,A18,'annual_data'!$C$2:$C$45,"cost_of_revenue")</x:f>
        <x:v>3100404186.45</x:v>
      </x:c>
      <x:c r="D18" s="18" t="n">
        <x:f>B18-C18</x:f>
        <x:v>2428854386.1000004</x:v>
      </x:c>
      <x:c r="E18" s="19" t="n">
        <x:f>IF(B18=0,"",D18/B18)</x:f>
        <x:v>0.43927306965856977</x:v>
      </x:c>
      <x:c r="F18" s="18" t="n">
        <x:f>SUMIFS('annual_data'!$D$2:$D$45,'annual_data'!$A$2:$A$45,A18,'annual_data'!$C$2:$C$45,"net_profit_parent")</x:f>
        <x:v>181931124.57</x:v>
      </x:c>
      <x:c r="G18" s="19" t="n">
        <x:f>IF(B17=0,"",(B18-B17)/ABS(B17))</x:f>
        <x:v>-0.17408180319738606</x:v>
      </x:c>
    </x:row>
    <x:row r="19" ht="30" customHeight="1">
      <x:c r="A19" t="n">
        <x:v>2025</x:v>
      </x:c>
      <x:c r="B19" s="18" t="n">
        <x:f>SUMIFS('annual_data'!$D$2:$D$45,'annual_data'!$A$2:$A$45,A19,'annual_data'!$C$2:$C$45,"revenue")</x:f>
        <x:v>6721612130.17</x:v>
      </x:c>
      <x:c r="C19" s="18" t="n">
        <x:f>SUMIFS('annual_data'!$D$2:$D$45,'annual_data'!$A$2:$A$45,A19,'annual_data'!$C$2:$C$45,"cost_of_revenue")</x:f>
        <x:v>3567623281.8</x:v>
      </x:c>
      <x:c r="D19" s="18" t="n">
        <x:f>B19-C19</x:f>
        <x:v>3153988848.37</x:v>
      </x:c>
      <x:c r="E19" s="19" t="n">
        <x:f>IF(B19=0,"",D19/B19)</x:f>
        <x:v>0.4692310099556772</x:v>
      </x:c>
      <x:c r="F19" s="18" t="n">
        <x:f>SUMIFS('annual_data'!$D$2:$D$45,'annual_data'!$A$2:$A$45,A19,'annual_data'!$C$2:$C$45,"net_profit_parent")</x:f>
        <x:v>276831969.6</x:v>
      </x:c>
      <x:c r="G19" s="19" t="n">
        <x:f>IF(B18=0,"",(B19-B18)/ABS(B18))</x:f>
        <x:v>0.21564438377677583</x:v>
      </x:c>
    </x:row>
    <x:row r="22" ht="23" customHeight="1">
      <x:c r="A22" s="21" t="str">
        <x:v>导入：选择 annual_data / quarterly_data / business_data 工作表，或同名CSV。表头为英文、无合并单元格；CSV为UTF-8 BOM、金额无千分位。仅导入这3张原始表，不导入使用说明/指标/核验/来源。重复指标不得重复加总。</x:v>
      </x:c>
      <x:c r="B22" s="21"/>
      <x:c r="C22" s="21"/>
      <x:c r="D22" s="21"/>
      <x:c r="E22" s="21"/>
      <x:c r="F22" s="21"/>
      <x:c r="G22" s="21"/>
    </x:row>
    <x:row r="23" ht="23" customHeight="1">
      <x:c r="A23" s="21"/>
      <x:c r="B23" s="21"/>
      <x:c r="C23" s="21"/>
      <x:c r="D23" s="21"/>
      <x:c r="E23" s="21"/>
      <x:c r="F23" s="21"/>
      <x:c r="G23" s="21"/>
    </x:row>
    <x:row r="24" ht="23" customHeight="1">
      <x:c r="A24" s="21"/>
      <x:c r="B24" s="21"/>
      <x:c r="C24" s="21"/>
      <x:c r="D24" s="21"/>
      <x:c r="E24" s="21"/>
      <x:c r="F24" s="21"/>
      <x:c r="G24" s="21"/>
    </x:row>
    <x:row r="26" ht="23" customHeight="1">
      <x:c r="A26" s="22" t="str">
        <x:v>适用：年度/季度趋势、业务收入成本、毛利复盘。不适用：退款率、转化率、订单客单价、SKU排名、周报经营异常、广告ROAS。公开信息分析不构成公司合作或真实客户项目。</x:v>
      </x:c>
      <x:c r="B26" s="22"/>
      <x:c r="C26" s="22"/>
      <x:c r="D26" s="22"/>
      <x:c r="E26" s="22"/>
      <x:c r="F26" s="22"/>
      <x:c r="G26" s="22"/>
    </x:row>
    <x:row r="27" ht="23" customHeight="1">
      <x:c r="A27" s="22"/>
      <x:c r="B27" s="22"/>
      <x:c r="C27" s="22"/>
      <x:c r="D27" s="22"/>
      <x:c r="E27" s="22"/>
      <x:c r="F27" s="22"/>
      <x:c r="G27" s="22"/>
    </x:row>
    <x:row r="28" ht="23" customHeight="1">
      <x:c r="A28" s="22"/>
      <x:c r="B28" s="22"/>
      <x:c r="C28" s="22"/>
      <x:c r="D28" s="22"/>
      <x:c r="E28" s="22"/>
      <x:c r="F28" s="22"/>
      <x:c r="G28" s="22"/>
    </x:row>
  </x:sheetData>
  <x:mergeCells>
    <x:mergeCell ref="A1:G2"/>
    <x:mergeCell ref="A3:G3"/>
    <x:mergeCell ref="A5:G5"/>
    <x:mergeCell ref="A7:G7"/>
    <x:mergeCell ref="A8:G8"/>
    <x:mergeCell ref="A9:G9"/>
    <x:mergeCell ref="A10:G10"/>
    <x:mergeCell ref="A11:G11"/>
    <x:mergeCell ref="A12:G12"/>
    <x:mergeCell ref="A22:G24"/>
    <x:mergeCell ref="A26:G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7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1" hidden="0" customWidth="1"/>
    <x:col min="10" max="10" width="21" hidden="0" customWidth="1"/>
    <x:col min="11" max="11" width="80" hidden="0" customWidth="1"/>
    <x:col min="12" max="12" width="17" hidden="0" customWidth="1"/>
    <x:col min="13" max="13" width="17" hidden="0" customWidth="1"/>
    <x:col min="14" max="14" width="75" hidden="0" customWidth="1"/>
  </x:cols>
  <x:sheetData>
    <x:row r="1" ht="34" customHeight="1">
      <x:c r="A1" s="6" t="str">
        <x:v>period</x:v>
      </x:c>
      <x:c r="B1" s="6" t="str">
        <x:v>business_unit</x:v>
      </x:c>
      <x:c r="C1" s="6" t="str">
        <x:v>metric</x:v>
      </x:c>
      <x:c r="D1" s="6" t="str">
        <x:v>value</x:v>
      </x:c>
      <x:c r="E1" s="6" t="str">
        <x:v>dataset_type</x:v>
      </x:c>
      <x:c r="F1" s="6" t="str">
        <x:v>company_code</x:v>
      </x:c>
      <x:c r="G1" s="6" t="str">
        <x:v>currency</x:v>
      </x:c>
      <x:c r="H1" s="6" t="str">
        <x:v>unit</x:v>
      </x:c>
      <x:c r="I1" s="6" t="str">
        <x:v>source_report_year</x:v>
      </x:c>
      <x:c r="J1" s="6" t="str">
        <x:v>source_page</x:v>
      </x:c>
      <x:c r="K1" s="6" t="str">
        <x:v>source_url</x:v>
      </x:c>
      <x:c r="L1" s="6" t="str">
        <x:v>basis</x:v>
      </x:c>
      <x:c r="M1" s="6" t="str">
        <x:v>data_kind</x:v>
      </x:c>
      <x:c r="N1" s="6" t="str">
        <x:v>notes</x:v>
      </x:c>
    </x:row>
    <x:row r="2" ht="23" customHeight="1">
      <x:c r="A2" s="1" t="str">
        <x:v>2022</x:v>
      </x:c>
      <x:c r="B2" s="1" t="str">
        <x:v>all</x:v>
      </x:c>
      <x:c r="C2" s="1" t="str">
        <x:v>revenue</x:v>
      </x:c>
      <x:c r="D2" s="7" t="n">
        <x:v>5375883625.69</x:v>
      </x:c>
      <x:c r="E2" s="1" t="str">
        <x:v>annual</x:v>
      </x:c>
      <x:c r="F2" s="1" t="str">
        <x:v>002803.SZ</x:v>
      </x:c>
      <x:c r="G2" s="1" t="str">
        <x:v>CNY</x:v>
      </x:c>
      <x:c r="H2" s="1" t="str">
        <x:v>yuan</x:v>
      </x:c>
      <x:c r="I2" s="1" t="n">
        <x:v>2022</x:v>
      </x:c>
      <x:c r="J2" s="1" t="n">
        <x:v>84</x:v>
      </x:c>
      <x:c r="K2" s="1" t="str">
        <x:v>https://static.cninfo.com.cn/finalpage/2023-04-12/1216381312.PDF</x:v>
      </x:c>
      <x:c r="L2" s="1" t="str">
        <x:v>as_reported</x:v>
      </x:c>
      <x:c r="M2" s="1" t="str">
        <x:v>public_report</x:v>
      </x:c>
      <x:c r="N2" s="3" t="str"/>
    </x:row>
    <x:row r="3" ht="23" customHeight="1">
      <x:c r="A3" s="1" t="str">
        <x:v>2022</x:v>
      </x:c>
      <x:c r="B3" s="1" t="str">
        <x:v>all</x:v>
      </x:c>
      <x:c r="C3" s="1" t="str">
        <x:v>cost_of_revenue</x:v>
      </x:c>
      <x:c r="D3" s="7" t="n">
        <x:v>3188529759.65</x:v>
      </x:c>
      <x:c r="E3" s="1" t="str">
        <x:v>annual</x:v>
      </x:c>
      <x:c r="F3" s="1" t="str">
        <x:v>002803.SZ</x:v>
      </x:c>
      <x:c r="G3" s="1" t="str">
        <x:v>CNY</x:v>
      </x:c>
      <x:c r="H3" s="1" t="str">
        <x:v>yuan</x:v>
      </x:c>
      <x:c r="I3" s="1" t="n">
        <x:v>2022</x:v>
      </x:c>
      <x:c r="J3" s="1" t="n">
        <x:v>84</x:v>
      </x:c>
      <x:c r="K3" s="1" t="str">
        <x:v>https://static.cninfo.com.cn/finalpage/2023-04-12/1216381312.PDF</x:v>
      </x:c>
      <x:c r="L3" s="1" t="str">
        <x:v>as_reported</x:v>
      </x:c>
      <x:c r="M3" s="1" t="str">
        <x:v>public_report</x:v>
      </x:c>
      <x:c r="N3" s="3" t="str"/>
    </x:row>
    <x:row r="4" ht="23" customHeight="1">
      <x:c r="A4" s="1" t="str">
        <x:v>2022</x:v>
      </x:c>
      <x:c r="B4" s="1" t="str">
        <x:v>all</x:v>
      </x:c>
      <x:c r="C4" s="1" t="str">
        <x:v>selling_expense</x:v>
      </x:c>
      <x:c r="D4" s="7" t="n">
        <x:v>1575180154.25</x:v>
      </x:c>
      <x:c r="E4" s="1" t="str">
        <x:v>annual</x:v>
      </x:c>
      <x:c r="F4" s="1" t="str">
        <x:v>002803.SZ</x:v>
      </x:c>
      <x:c r="G4" s="1" t="str">
        <x:v>CNY</x:v>
      </x:c>
      <x:c r="H4" s="1" t="str">
        <x:v>yuan</x:v>
      </x:c>
      <x:c r="I4" s="1" t="n">
        <x:v>2022</x:v>
      </x:c>
      <x:c r="J4" s="1" t="n">
        <x:v>85</x:v>
      </x:c>
      <x:c r="K4" s="1" t="str">
        <x:v>https://static.cninfo.com.cn/finalpage/2023-04-12/1216381312.PDF</x:v>
      </x:c>
      <x:c r="L4" s="1" t="str">
        <x:v>as_reported</x:v>
      </x:c>
      <x:c r="M4" s="1" t="str">
        <x:v>public_report</x:v>
      </x:c>
      <x:c r="N4" s="3" t="str"/>
    </x:row>
    <x:row r="5" ht="23" customHeight="1">
      <x:c r="A5" s="1" t="str">
        <x:v>2022</x:v>
      </x:c>
      <x:c r="B5" s="1" t="str">
        <x:v>all</x:v>
      </x:c>
      <x:c r="C5" s="1" t="str">
        <x:v>admin_expense</x:v>
      </x:c>
      <x:c r="D5" s="7" t="n">
        <x:v>154143560.14</x:v>
      </x:c>
      <x:c r="E5" s="1" t="str">
        <x:v>annual</x:v>
      </x:c>
      <x:c r="F5" s="1" t="str">
        <x:v>002803.SZ</x:v>
      </x:c>
      <x:c r="G5" s="1" t="str">
        <x:v>CNY</x:v>
      </x:c>
      <x:c r="H5" s="1" t="str">
        <x:v>yuan</x:v>
      </x:c>
      <x:c r="I5" s="1" t="n">
        <x:v>2022</x:v>
      </x:c>
      <x:c r="J5" s="1" t="n">
        <x:v>85</x:v>
      </x:c>
      <x:c r="K5" s="1" t="str">
        <x:v>https://static.cninfo.com.cn/finalpage/2023-04-12/1216381312.PDF</x:v>
      </x:c>
      <x:c r="L5" s="1" t="str">
        <x:v>as_reported</x:v>
      </x:c>
      <x:c r="M5" s="1" t="str">
        <x:v>public_report</x:v>
      </x:c>
      <x:c r="N5" s="3" t="str"/>
    </x:row>
    <x:row r="6" ht="23" customHeight="1">
      <x:c r="A6" s="1" t="str">
        <x:v>2022</x:v>
      </x:c>
      <x:c r="B6" s="1" t="str">
        <x:v>all</x:v>
      </x:c>
      <x:c r="C6" s="1" t="str">
        <x:v>rd_expense</x:v>
      </x:c>
      <x:c r="D6" s="7" t="n">
        <x:v>148511746.17</x:v>
      </x:c>
      <x:c r="E6" s="1" t="str">
        <x:v>annual</x:v>
      </x:c>
      <x:c r="F6" s="1" t="str">
        <x:v>002803.SZ</x:v>
      </x:c>
      <x:c r="G6" s="1" t="str">
        <x:v>CNY</x:v>
      </x:c>
      <x:c r="H6" s="1" t="str">
        <x:v>yuan</x:v>
      </x:c>
      <x:c r="I6" s="1" t="n">
        <x:v>2022</x:v>
      </x:c>
      <x:c r="J6" s="1" t="n">
        <x:v>85</x:v>
      </x:c>
      <x:c r="K6" s="1" t="str">
        <x:v>https://static.cninfo.com.cn/finalpage/2023-04-12/1216381312.PDF</x:v>
      </x:c>
      <x:c r="L6" s="1" t="str">
        <x:v>as_reported</x:v>
      </x:c>
      <x:c r="M6" s="1" t="str">
        <x:v>public_report</x:v>
      </x:c>
      <x:c r="N6" s="3" t="str"/>
    </x:row>
    <x:row r="7" ht="23" customHeight="1">
      <x:c r="A7" s="1" t="str">
        <x:v>2022</x:v>
      </x:c>
      <x:c r="B7" s="1" t="str">
        <x:v>all</x:v>
      </x:c>
      <x:c r="C7" s="1" t="str">
        <x:v>finance_expense</x:v>
      </x:c>
      <x:c r="D7" s="7" t="n">
        <x:v>7764053.23</x:v>
      </x:c>
      <x:c r="E7" s="1" t="str">
        <x:v>annual</x:v>
      </x:c>
      <x:c r="F7" s="1" t="str">
        <x:v>002803.SZ</x:v>
      </x:c>
      <x:c r="G7" s="1" t="str">
        <x:v>CNY</x:v>
      </x:c>
      <x:c r="H7" s="1" t="str">
        <x:v>yuan</x:v>
      </x:c>
      <x:c r="I7" s="1" t="n">
        <x:v>2022</x:v>
      </x:c>
      <x:c r="J7" s="1" t="n">
        <x:v>85</x:v>
      </x:c>
      <x:c r="K7" s="1" t="str">
        <x:v>https://static.cninfo.com.cn/finalpage/2023-04-12/1216381312.PDF</x:v>
      </x:c>
      <x:c r="L7" s="1" t="str">
        <x:v>as_reported</x:v>
      </x:c>
      <x:c r="M7" s="1" t="str">
        <x:v>public_report</x:v>
      </x:c>
      <x:c r="N7" s="3" t="str"/>
    </x:row>
    <x:row r="8" ht="23" customHeight="1">
      <x:c r="A8" s="1" t="str">
        <x:v>2022</x:v>
      </x:c>
      <x:c r="B8" s="1" t="str">
        <x:v>all</x:v>
      </x:c>
      <x:c r="C8" s="1" t="str">
        <x:v>operating_profit</x:v>
      </x:c>
      <x:c r="D8" s="7" t="n">
        <x:v>214415064.03</x:v>
      </x:c>
      <x:c r="E8" s="1" t="str">
        <x:v>annual</x:v>
      </x:c>
      <x:c r="F8" s="1" t="str">
        <x:v>002803.SZ</x:v>
      </x:c>
      <x:c r="G8" s="1" t="str">
        <x:v>CNY</x:v>
      </x:c>
      <x:c r="H8" s="1" t="str">
        <x:v>yuan</x:v>
      </x:c>
      <x:c r="I8" s="1" t="n">
        <x:v>2022</x:v>
      </x:c>
      <x:c r="J8" s="1" t="n">
        <x:v>85</x:v>
      </x:c>
      <x:c r="K8" s="1" t="str">
        <x:v>https://static.cninfo.com.cn/finalpage/2023-04-12/1216381312.PDF</x:v>
      </x:c>
      <x:c r="L8" s="1" t="str">
        <x:v>as_reported</x:v>
      </x:c>
      <x:c r="M8" s="1" t="str">
        <x:v>public_report</x:v>
      </x:c>
      <x:c r="N8" s="3" t="str"/>
    </x:row>
    <x:row r="9" ht="23" customHeight="1">
      <x:c r="A9" s="1" t="str">
        <x:v>2022</x:v>
      </x:c>
      <x:c r="B9" s="1" t="str">
        <x:v>all</x:v>
      </x:c>
      <x:c r="C9" s="1" t="str">
        <x:v>net_profit</x:v>
      </x:c>
      <x:c r="D9" s="7" t="n">
        <x:v>171578572.49</x:v>
      </x:c>
      <x:c r="E9" s="1" t="str">
        <x:v>annual</x:v>
      </x:c>
      <x:c r="F9" s="1" t="str">
        <x:v>002803.SZ</x:v>
      </x:c>
      <x:c r="G9" s="1" t="str">
        <x:v>CNY</x:v>
      </x:c>
      <x:c r="H9" s="1" t="str">
        <x:v>yuan</x:v>
      </x:c>
      <x:c r="I9" s="1" t="n">
        <x:v>2022</x:v>
      </x:c>
      <x:c r="J9" s="1" t="n">
        <x:v>85</x:v>
      </x:c>
      <x:c r="K9" s="1" t="str">
        <x:v>https://static.cninfo.com.cn/finalpage/2023-04-12/1216381312.PDF</x:v>
      </x:c>
      <x:c r="L9" s="1" t="str">
        <x:v>as_reported</x:v>
      </x:c>
      <x:c r="M9" s="1" t="str">
        <x:v>public_report</x:v>
      </x:c>
      <x:c r="N9" s="3" t="str"/>
    </x:row>
    <x:row r="10" ht="23" customHeight="1">
      <x:c r="A10" s="1" t="str">
        <x:v>2022</x:v>
      </x:c>
      <x:c r="B10" s="1" t="str">
        <x:v>all</x:v>
      </x:c>
      <x:c r="C10" s="1" t="str">
        <x:v>net_profit_parent</x:v>
      </x:c>
      <x:c r="D10" s="7" t="n">
        <x:v>183979897.51</x:v>
      </x:c>
      <x:c r="E10" s="1" t="str">
        <x:v>annual</x:v>
      </x:c>
      <x:c r="F10" s="1" t="str">
        <x:v>002803.SZ</x:v>
      </x:c>
      <x:c r="G10" s="1" t="str">
        <x:v>CNY</x:v>
      </x:c>
      <x:c r="H10" s="1" t="str">
        <x:v>yuan</x:v>
      </x:c>
      <x:c r="I10" s="1" t="n">
        <x:v>2022</x:v>
      </x:c>
      <x:c r="J10" s="1" t="n">
        <x:v>85</x:v>
      </x:c>
      <x:c r="K10" s="1" t="str">
        <x:v>https://static.cninfo.com.cn/finalpage/2023-04-12/1216381312.PDF</x:v>
      </x:c>
      <x:c r="L10" s="1" t="str">
        <x:v>as_reported</x:v>
      </x:c>
      <x:c r="M10" s="1" t="str">
        <x:v>public_report</x:v>
      </x:c>
      <x:c r="N10" s="3" t="str"/>
    </x:row>
    <x:row r="11" ht="23" customHeight="1">
      <x:c r="A11" s="1" t="str">
        <x:v>2022</x:v>
      </x:c>
      <x:c r="B11" s="1" t="str">
        <x:v>all</x:v>
      </x:c>
      <x:c r="C11" s="1" t="str">
        <x:v>net_profit_parent_excl</x:v>
      </x:c>
      <x:c r="D11" s="7" t="n">
        <x:v>169317499.85</x:v>
      </x:c>
      <x:c r="E11" s="1" t="str">
        <x:v>annual</x:v>
      </x:c>
      <x:c r="F11" s="1" t="str">
        <x:v>002803.SZ</x:v>
      </x:c>
      <x:c r="G11" s="1" t="str">
        <x:v>CNY</x:v>
      </x:c>
      <x:c r="H11" s="1" t="str">
        <x:v>yuan</x:v>
      </x:c>
      <x:c r="I11" s="1" t="n">
        <x:v>2022</x:v>
      </x:c>
      <x:c r="J11" s="1" t="n">
        <x:v>7</x:v>
      </x:c>
      <x:c r="K11" s="1" t="str">
        <x:v>https://static.cninfo.com.cn/finalpage/2023-04-12/1216381312.PDF</x:v>
      </x:c>
      <x:c r="L11" s="1" t="str">
        <x:v>as_reported</x:v>
      </x:c>
      <x:c r="M11" s="1" t="str">
        <x:v>public_report</x:v>
      </x:c>
      <x:c r="N11" s="3" t="str"/>
    </x:row>
    <x:row r="12" ht="62" customHeight="1">
      <x:c r="A12" s="1" t="str">
        <x:v>2022</x:v>
      </x:c>
      <x:c r="B12" s="1" t="str">
        <x:v>all</x:v>
      </x:c>
      <x:c r="C12" s="1" t="str">
        <x:v>operating_cash_flow</x:v>
      </x:c>
      <x:c r="D12" s="7" t="n">
        <x:v>372841176.49</x:v>
      </x:c>
      <x:c r="E12" s="1" t="str">
        <x:v>annual</x:v>
      </x:c>
      <x:c r="F12" s="1" t="str">
        <x:v>002803.SZ</x:v>
      </x:c>
      <x:c r="G12" s="1" t="str">
        <x:v>CNY</x:v>
      </x:c>
      <x:c r="H12" s="1" t="str">
        <x:v>yuan</x:v>
      </x:c>
      <x:c r="I12" s="1" t="n">
        <x:v>2022</x:v>
      </x:c>
      <x:c r="J12" s="1" t="n">
        <x:v>87</x:v>
      </x:c>
      <x:c r="K12" s="1" t="str">
        <x:v>https://static.cninfo.com.cn/finalpage/2023-04-12/1216381312.PDF</x:v>
      </x:c>
      <x:c r="L12" s="1" t="str">
        <x:v>as_reported</x:v>
      </x:c>
      <x:c r="M12" s="1" t="str">
        <x:v>public_report</x:v>
      </x:c>
      <x:c r="N12" s="3" t="str">
        <x:v>2022年经营现金流：原年报为372,841,176.49元；2023/2024年报比较数为390,955,098.53元，相差18,113,922.04元。本包保留原值，不把差异分摊到季度；跨年分析须说明版本差异。</x:v>
      </x:c>
    </x:row>
    <x:row r="13" ht="23" customHeight="1">
      <x:c r="A13" s="1" t="str">
        <x:v>2023</x:v>
      </x:c>
      <x:c r="B13" s="1" t="str">
        <x:v>all</x:v>
      </x:c>
      <x:c r="C13" s="1" t="str">
        <x:v>revenue</x:v>
      </x:c>
      <x:c r="D13" s="7" t="n">
        <x:v>6694680652.34</x:v>
      </x:c>
      <x:c r="E13" s="1" t="str">
        <x:v>annual</x:v>
      </x:c>
      <x:c r="F13" s="1" t="str">
        <x:v>002803.SZ</x:v>
      </x:c>
      <x:c r="G13" s="1" t="str">
        <x:v>CNY</x:v>
      </x:c>
      <x:c r="H13" s="1" t="str">
        <x:v>yuan</x:v>
      </x:c>
      <x:c r="I13" s="1" t="n">
        <x:v>2023</x:v>
      </x:c>
      <x:c r="J13" s="1" t="n">
        <x:v>80</x:v>
      </x:c>
      <x:c r="K13" s="1" t="str">
        <x:v>https://static.cninfo.com.cn/finalpage/2024-03-30/1219463249.PDF</x:v>
      </x:c>
      <x:c r="L13" s="1" t="str">
        <x:v>as_reported</x:v>
      </x:c>
      <x:c r="M13" s="1" t="str">
        <x:v>public_report</x:v>
      </x:c>
      <x:c r="N13" s="3" t="str"/>
    </x:row>
    <x:row r="14" ht="23" customHeight="1">
      <x:c r="A14" s="1" t="str">
        <x:v>2023</x:v>
      </x:c>
      <x:c r="B14" s="1" t="str">
        <x:v>all</x:v>
      </x:c>
      <x:c r="C14" s="1" t="str">
        <x:v>cost_of_revenue</x:v>
      </x:c>
      <x:c r="D14" s="7" t="n">
        <x:v>3570914036.82</x:v>
      </x:c>
      <x:c r="E14" s="1" t="str">
        <x:v>annual</x:v>
      </x:c>
      <x:c r="F14" s="1" t="str">
        <x:v>002803.SZ</x:v>
      </x:c>
      <x:c r="G14" s="1" t="str">
        <x:v>CNY</x:v>
      </x:c>
      <x:c r="H14" s="1" t="str">
        <x:v>yuan</x:v>
      </x:c>
      <x:c r="I14" s="1" t="n">
        <x:v>2023</x:v>
      </x:c>
      <x:c r="J14" s="1" t="n">
        <x:v>80</x:v>
      </x:c>
      <x:c r="K14" s="1" t="str">
        <x:v>https://static.cninfo.com.cn/finalpage/2024-03-30/1219463249.PDF</x:v>
      </x:c>
      <x:c r="L14" s="1" t="str">
        <x:v>as_reported</x:v>
      </x:c>
      <x:c r="M14" s="1" t="str">
        <x:v>public_report</x:v>
      </x:c>
      <x:c r="N14" s="3" t="str"/>
    </x:row>
    <x:row r="15" ht="23" customHeight="1">
      <x:c r="A15" s="1" t="str">
        <x:v>2023</x:v>
      </x:c>
      <x:c r="B15" s="1" t="str">
        <x:v>all</x:v>
      </x:c>
      <x:c r="C15" s="1" t="str">
        <x:v>selling_expense</x:v>
      </x:c>
      <x:c r="D15" s="7" t="n">
        <x:v>2342145585.25</x:v>
      </x:c>
      <x:c r="E15" s="1" t="str">
        <x:v>annual</x:v>
      </x:c>
      <x:c r="F15" s="1" t="str">
        <x:v>002803.SZ</x:v>
      </x:c>
      <x:c r="G15" s="1" t="str">
        <x:v>CNY</x:v>
      </x:c>
      <x:c r="H15" s="1" t="str">
        <x:v>yuan</x:v>
      </x:c>
      <x:c r="I15" s="1" t="n">
        <x:v>2023</x:v>
      </x:c>
      <x:c r="J15" s="1" t="n">
        <x:v>81</x:v>
      </x:c>
      <x:c r="K15" s="1" t="str">
        <x:v>https://static.cninfo.com.cn/finalpage/2024-03-30/1219463249.PDF</x:v>
      </x:c>
      <x:c r="L15" s="1" t="str">
        <x:v>as_reported</x:v>
      </x:c>
      <x:c r="M15" s="1" t="str">
        <x:v>public_report</x:v>
      </x:c>
      <x:c r="N15" s="3" t="str"/>
    </x:row>
    <x:row r="16" ht="23" customHeight="1">
      <x:c r="A16" s="1" t="str">
        <x:v>2023</x:v>
      </x:c>
      <x:c r="B16" s="1" t="str">
        <x:v>all</x:v>
      </x:c>
      <x:c r="C16" s="1" t="str">
        <x:v>admin_expense</x:v>
      </x:c>
      <x:c r="D16" s="7" t="n">
        <x:v>224452386.26</x:v>
      </x:c>
      <x:c r="E16" s="1" t="str">
        <x:v>annual</x:v>
      </x:c>
      <x:c r="F16" s="1" t="str">
        <x:v>002803.SZ</x:v>
      </x:c>
      <x:c r="G16" s="1" t="str">
        <x:v>CNY</x:v>
      </x:c>
      <x:c r="H16" s="1" t="str">
        <x:v>yuan</x:v>
      </x:c>
      <x:c r="I16" s="1" t="n">
        <x:v>2023</x:v>
      </x:c>
      <x:c r="J16" s="1" t="n">
        <x:v>81</x:v>
      </x:c>
      <x:c r="K16" s="1" t="str">
        <x:v>https://static.cninfo.com.cn/finalpage/2024-03-30/1219463249.PDF</x:v>
      </x:c>
      <x:c r="L16" s="1" t="str">
        <x:v>as_reported</x:v>
      </x:c>
      <x:c r="M16" s="1" t="str">
        <x:v>public_report</x:v>
      </x:c>
      <x:c r="N16" s="3" t="str"/>
    </x:row>
    <x:row r="17" ht="23" customHeight="1">
      <x:c r="A17" s="1" t="str">
        <x:v>2023</x:v>
      </x:c>
      <x:c r="B17" s="1" t="str">
        <x:v>all</x:v>
      </x:c>
      <x:c r="C17" s="1" t="str">
        <x:v>rd_expense</x:v>
      </x:c>
      <x:c r="D17" s="7" t="n">
        <x:v>141980094.41</x:v>
      </x:c>
      <x:c r="E17" s="1" t="str">
        <x:v>annual</x:v>
      </x:c>
      <x:c r="F17" s="1" t="str">
        <x:v>002803.SZ</x:v>
      </x:c>
      <x:c r="G17" s="1" t="str">
        <x:v>CNY</x:v>
      </x:c>
      <x:c r="H17" s="1" t="str">
        <x:v>yuan</x:v>
      </x:c>
      <x:c r="I17" s="1" t="n">
        <x:v>2023</x:v>
      </x:c>
      <x:c r="J17" s="1" t="n">
        <x:v>81</x:v>
      </x:c>
      <x:c r="K17" s="1" t="str">
        <x:v>https://static.cninfo.com.cn/finalpage/2024-03-30/1219463249.PDF</x:v>
      </x:c>
      <x:c r="L17" s="1" t="str">
        <x:v>as_reported</x:v>
      </x:c>
      <x:c r="M17" s="1" t="str">
        <x:v>public_report</x:v>
      </x:c>
      <x:c r="N17" s="3" t="str"/>
    </x:row>
    <x:row r="18" ht="23" customHeight="1">
      <x:c r="A18" s="1" t="str">
        <x:v>2023</x:v>
      </x:c>
      <x:c r="B18" s="1" t="str">
        <x:v>all</x:v>
      </x:c>
      <x:c r="C18" s="1" t="str">
        <x:v>finance_expense</x:v>
      </x:c>
      <x:c r="D18" s="7" t="n">
        <x:v>244180.32</x:v>
      </x:c>
      <x:c r="E18" s="1" t="str">
        <x:v>annual</x:v>
      </x:c>
      <x:c r="F18" s="1" t="str">
        <x:v>002803.SZ</x:v>
      </x:c>
      <x:c r="G18" s="1" t="str">
        <x:v>CNY</x:v>
      </x:c>
      <x:c r="H18" s="1" t="str">
        <x:v>yuan</x:v>
      </x:c>
      <x:c r="I18" s="1" t="n">
        <x:v>2023</x:v>
      </x:c>
      <x:c r="J18" s="1" t="n">
        <x:v>81</x:v>
      </x:c>
      <x:c r="K18" s="1" t="str">
        <x:v>https://static.cninfo.com.cn/finalpage/2024-03-30/1219463249.PDF</x:v>
      </x:c>
      <x:c r="L18" s="1" t="str">
        <x:v>as_reported</x:v>
      </x:c>
      <x:c r="M18" s="1" t="str">
        <x:v>public_report</x:v>
      </x:c>
      <x:c r="N18" s="3" t="str"/>
    </x:row>
    <x:row r="19" ht="23" customHeight="1">
      <x:c r="A19" s="1" t="str">
        <x:v>2023</x:v>
      </x:c>
      <x:c r="B19" s="1" t="str">
        <x:v>all</x:v>
      </x:c>
      <x:c r="C19" s="1" t="str">
        <x:v>operating_profit</x:v>
      </x:c>
      <x:c r="D19" s="7" t="n">
        <x:v>386450664.39</x:v>
      </x:c>
      <x:c r="E19" s="1" t="str">
        <x:v>annual</x:v>
      </x:c>
      <x:c r="F19" s="1" t="str">
        <x:v>002803.SZ</x:v>
      </x:c>
      <x:c r="G19" s="1" t="str">
        <x:v>CNY</x:v>
      </x:c>
      <x:c r="H19" s="1" t="str">
        <x:v>yuan</x:v>
      </x:c>
      <x:c r="I19" s="1" t="n">
        <x:v>2023</x:v>
      </x:c>
      <x:c r="J19" s="1" t="n">
        <x:v>81</x:v>
      </x:c>
      <x:c r="K19" s="1" t="str">
        <x:v>https://static.cninfo.com.cn/finalpage/2024-03-30/1219463249.PDF</x:v>
      </x:c>
      <x:c r="L19" s="1" t="str">
        <x:v>as_reported</x:v>
      </x:c>
      <x:c r="M19" s="1" t="str">
        <x:v>public_report</x:v>
      </x:c>
      <x:c r="N19" s="3" t="str"/>
    </x:row>
    <x:row r="20" ht="23" customHeight="1">
      <x:c r="A20" s="1" t="str">
        <x:v>2023</x:v>
      </x:c>
      <x:c r="B20" s="1" t="str">
        <x:v>all</x:v>
      </x:c>
      <x:c r="C20" s="1" t="str">
        <x:v>net_profit</x:v>
      </x:c>
      <x:c r="D20" s="7" t="n">
        <x:v>332121542.56</x:v>
      </x:c>
      <x:c r="E20" s="1" t="str">
        <x:v>annual</x:v>
      </x:c>
      <x:c r="F20" s="1" t="str">
        <x:v>002803.SZ</x:v>
      </x:c>
      <x:c r="G20" s="1" t="str">
        <x:v>CNY</x:v>
      </x:c>
      <x:c r="H20" s="1" t="str">
        <x:v>yuan</x:v>
      </x:c>
      <x:c r="I20" s="1" t="n">
        <x:v>2023</x:v>
      </x:c>
      <x:c r="J20" s="1" t="n">
        <x:v>81</x:v>
      </x:c>
      <x:c r="K20" s="1" t="str">
        <x:v>https://static.cninfo.com.cn/finalpage/2024-03-30/1219463249.PDF</x:v>
      </x:c>
      <x:c r="L20" s="1" t="str">
        <x:v>as_reported</x:v>
      </x:c>
      <x:c r="M20" s="1" t="str">
        <x:v>public_report</x:v>
      </x:c>
      <x:c r="N20" s="3" t="str"/>
    </x:row>
    <x:row r="21" ht="23" customHeight="1">
      <x:c r="A21" s="1" t="str">
        <x:v>2023</x:v>
      </x:c>
      <x:c r="B21" s="1" t="str">
        <x:v>all</x:v>
      </x:c>
      <x:c r="C21" s="1" t="str">
        <x:v>net_profit_parent</x:v>
      </x:c>
      <x:c r="D21" s="7" t="n">
        <x:v>345098588.03</x:v>
      </x:c>
      <x:c r="E21" s="1" t="str">
        <x:v>annual</x:v>
      </x:c>
      <x:c r="F21" s="1" t="str">
        <x:v>002803.SZ</x:v>
      </x:c>
      <x:c r="G21" s="1" t="str">
        <x:v>CNY</x:v>
      </x:c>
      <x:c r="H21" s="1" t="str">
        <x:v>yuan</x:v>
      </x:c>
      <x:c r="I21" s="1" t="n">
        <x:v>2023</x:v>
      </x:c>
      <x:c r="J21" s="1" t="n">
        <x:v>82</x:v>
      </x:c>
      <x:c r="K21" s="1" t="str">
        <x:v>https://static.cninfo.com.cn/finalpage/2024-03-30/1219463249.PDF</x:v>
      </x:c>
      <x:c r="L21" s="1" t="str">
        <x:v>as_reported</x:v>
      </x:c>
      <x:c r="M21" s="1" t="str">
        <x:v>public_report</x:v>
      </x:c>
      <x:c r="N21" s="3" t="str"/>
    </x:row>
    <x:row r="22" ht="23" customHeight="1">
      <x:c r="A22" s="1" t="str">
        <x:v>2023</x:v>
      </x:c>
      <x:c r="B22" s="1" t="str">
        <x:v>all</x:v>
      </x:c>
      <x:c r="C22" s="1" t="str">
        <x:v>net_profit_parent_excl</x:v>
      </x:c>
      <x:c r="D22" s="7" t="n">
        <x:v>325288578.14</x:v>
      </x:c>
      <x:c r="E22" s="1" t="str">
        <x:v>annual</x:v>
      </x:c>
      <x:c r="F22" s="1" t="str">
        <x:v>002803.SZ</x:v>
      </x:c>
      <x:c r="G22" s="1" t="str">
        <x:v>CNY</x:v>
      </x:c>
      <x:c r="H22" s="1" t="str">
        <x:v>yuan</x:v>
      </x:c>
      <x:c r="I22" s="1" t="n">
        <x:v>2023</x:v>
      </x:c>
      <x:c r="J22" s="1" t="n">
        <x:v>7</x:v>
      </x:c>
      <x:c r="K22" s="1" t="str">
        <x:v>https://static.cninfo.com.cn/finalpage/2024-03-30/1219463249.PDF</x:v>
      </x:c>
      <x:c r="L22" s="1" t="str">
        <x:v>as_reported</x:v>
      </x:c>
      <x:c r="M22" s="1" t="str">
        <x:v>public_report</x:v>
      </x:c>
      <x:c r="N22" s="3" t="str"/>
    </x:row>
    <x:row r="23" ht="23" customHeight="1">
      <x:c r="A23" s="1" t="str">
        <x:v>2023</x:v>
      </x:c>
      <x:c r="B23" s="1" t="str">
        <x:v>all</x:v>
      </x:c>
      <x:c r="C23" s="1" t="str">
        <x:v>operating_cash_flow</x:v>
      </x:c>
      <x:c r="D23" s="7" t="n">
        <x:v>725599756.59</x:v>
      </x:c>
      <x:c r="E23" s="1" t="str">
        <x:v>annual</x:v>
      </x:c>
      <x:c r="F23" s="1" t="str">
        <x:v>002803.SZ</x:v>
      </x:c>
      <x:c r="G23" s="1" t="str">
        <x:v>CNY</x:v>
      </x:c>
      <x:c r="H23" s="1" t="str">
        <x:v>yuan</x:v>
      </x:c>
      <x:c r="I23" s="1" t="n">
        <x:v>2023</x:v>
      </x:c>
      <x:c r="J23" s="1" t="n">
        <x:v>7</x:v>
      </x:c>
      <x:c r="K23" s="1" t="str">
        <x:v>https://static.cninfo.com.cn/finalpage/2024-03-30/1219463249.PDF</x:v>
      </x:c>
      <x:c r="L23" s="1" t="str">
        <x:v>as_reported</x:v>
      </x:c>
      <x:c r="M23" s="1" t="str">
        <x:v>public_report</x:v>
      </x:c>
      <x:c r="N23" s="3" t="str"/>
    </x:row>
    <x:row r="24" ht="23" customHeight="1">
      <x:c r="A24" s="1" t="str">
        <x:v>2024</x:v>
      </x:c>
      <x:c r="B24" s="1" t="str">
        <x:v>all</x:v>
      </x:c>
      <x:c r="C24" s="1" t="str">
        <x:v>revenue</x:v>
      </x:c>
      <x:c r="D24" s="7" t="n">
        <x:v>5529258572.55</x:v>
      </x:c>
      <x:c r="E24" s="1" t="str">
        <x:v>annual</x:v>
      </x:c>
      <x:c r="F24" s="1" t="str">
        <x:v>002803.SZ</x:v>
      </x:c>
      <x:c r="G24" s="1" t="str">
        <x:v>CNY</x:v>
      </x:c>
      <x:c r="H24" s="1" t="str">
        <x:v>yuan</x:v>
      </x:c>
      <x:c r="I24" s="1" t="n">
        <x:v>2024</x:v>
      </x:c>
      <x:c r="J24" s="1" t="n">
        <x:v>83</x:v>
      </x:c>
      <x:c r="K24" s="1" t="str">
        <x:v>https://static.cninfo.com.cn/finalpage/2025-04-02/1222983627.PDF</x:v>
      </x:c>
      <x:c r="L24" s="1" t="str">
        <x:v>as_reported</x:v>
      </x:c>
      <x:c r="M24" s="1" t="str">
        <x:v>public_report</x:v>
      </x:c>
      <x:c r="N24" s="3" t="str"/>
    </x:row>
    <x:row r="25" ht="23" customHeight="1">
      <x:c r="A25" s="1" t="str">
        <x:v>2024</x:v>
      </x:c>
      <x:c r="B25" s="1" t="str">
        <x:v>all</x:v>
      </x:c>
      <x:c r="C25" s="1" t="str">
        <x:v>cost_of_revenue</x:v>
      </x:c>
      <x:c r="D25" s="7" t="n">
        <x:v>3100404186.45</x:v>
      </x:c>
      <x:c r="E25" s="1" t="str">
        <x:v>annual</x:v>
      </x:c>
      <x:c r="F25" s="1" t="str">
        <x:v>002803.SZ</x:v>
      </x:c>
      <x:c r="G25" s="1" t="str">
        <x:v>CNY</x:v>
      </x:c>
      <x:c r="H25" s="1" t="str">
        <x:v>yuan</x:v>
      </x:c>
      <x:c r="I25" s="1" t="n">
        <x:v>2024</x:v>
      </x:c>
      <x:c r="J25" s="1" t="n">
        <x:v>83</x:v>
      </x:c>
      <x:c r="K25" s="1" t="str">
        <x:v>https://static.cninfo.com.cn/finalpage/2025-04-02/1222983627.PDF</x:v>
      </x:c>
      <x:c r="L25" s="1" t="str">
        <x:v>as_reported</x:v>
      </x:c>
      <x:c r="M25" s="1" t="str">
        <x:v>public_report</x:v>
      </x:c>
      <x:c r="N25" s="3" t="str"/>
    </x:row>
    <x:row r="26" ht="23" customHeight="1">
      <x:c r="A26" s="1" t="str">
        <x:v>2024</x:v>
      </x:c>
      <x:c r="B26" s="1" t="str">
        <x:v>all</x:v>
      </x:c>
      <x:c r="C26" s="1" t="str">
        <x:v>selling_expense</x:v>
      </x:c>
      <x:c r="D26" s="7" t="n">
        <x:v>1849611438.97</x:v>
      </x:c>
      <x:c r="E26" s="1" t="str">
        <x:v>annual</x:v>
      </x:c>
      <x:c r="F26" s="1" t="str">
        <x:v>002803.SZ</x:v>
      </x:c>
      <x:c r="G26" s="1" t="str">
        <x:v>CNY</x:v>
      </x:c>
      <x:c r="H26" s="1" t="str">
        <x:v>yuan</x:v>
      </x:c>
      <x:c r="I26" s="1" t="n">
        <x:v>2024</x:v>
      </x:c>
      <x:c r="J26" s="1" t="n">
        <x:v>83</x:v>
      </x:c>
      <x:c r="K26" s="1" t="str">
        <x:v>https://static.cninfo.com.cn/finalpage/2025-04-02/1222983627.PDF</x:v>
      </x:c>
      <x:c r="L26" s="1" t="str">
        <x:v>as_reported</x:v>
      </x:c>
      <x:c r="M26" s="1" t="str">
        <x:v>public_report</x:v>
      </x:c>
      <x:c r="N26" s="3" t="str"/>
    </x:row>
    <x:row r="27" ht="23" customHeight="1">
      <x:c r="A27" s="1" t="str">
        <x:v>2024</x:v>
      </x:c>
      <x:c r="B27" s="1" t="str">
        <x:v>all</x:v>
      </x:c>
      <x:c r="C27" s="1" t="str">
        <x:v>admin_expense</x:v>
      </x:c>
      <x:c r="D27" s="7" t="n">
        <x:v>247115005.18</x:v>
      </x:c>
      <x:c r="E27" s="1" t="str">
        <x:v>annual</x:v>
      </x:c>
      <x:c r="F27" s="1" t="str">
        <x:v>002803.SZ</x:v>
      </x:c>
      <x:c r="G27" s="1" t="str">
        <x:v>CNY</x:v>
      </x:c>
      <x:c r="H27" s="1" t="str">
        <x:v>yuan</x:v>
      </x:c>
      <x:c r="I27" s="1" t="n">
        <x:v>2024</x:v>
      </x:c>
      <x:c r="J27" s="1" t="n">
        <x:v>83</x:v>
      </x:c>
      <x:c r="K27" s="1" t="str">
        <x:v>https://static.cninfo.com.cn/finalpage/2025-04-02/1222983627.PDF</x:v>
      </x:c>
      <x:c r="L27" s="1" t="str">
        <x:v>as_reported</x:v>
      </x:c>
      <x:c r="M27" s="1" t="str">
        <x:v>public_report</x:v>
      </x:c>
      <x:c r="N27" s="3" t="str"/>
    </x:row>
    <x:row r="28" ht="23" customHeight="1">
      <x:c r="A28" s="1" t="str">
        <x:v>2024</x:v>
      </x:c>
      <x:c r="B28" s="1" t="str">
        <x:v>all</x:v>
      </x:c>
      <x:c r="C28" s="1" t="str">
        <x:v>rd_expense</x:v>
      </x:c>
      <x:c r="D28" s="7" t="n">
        <x:v>124429981.67</x:v>
      </x:c>
      <x:c r="E28" s="1" t="str">
        <x:v>annual</x:v>
      </x:c>
      <x:c r="F28" s="1" t="str">
        <x:v>002803.SZ</x:v>
      </x:c>
      <x:c r="G28" s="1" t="str">
        <x:v>CNY</x:v>
      </x:c>
      <x:c r="H28" s="1" t="str">
        <x:v>yuan</x:v>
      </x:c>
      <x:c r="I28" s="1" t="n">
        <x:v>2024</x:v>
      </x:c>
      <x:c r="J28" s="1" t="n">
        <x:v>83</x:v>
      </x:c>
      <x:c r="K28" s="1" t="str">
        <x:v>https://static.cninfo.com.cn/finalpage/2025-04-02/1222983627.PDF</x:v>
      </x:c>
      <x:c r="L28" s="1" t="str">
        <x:v>as_reported</x:v>
      </x:c>
      <x:c r="M28" s="1" t="str">
        <x:v>public_report</x:v>
      </x:c>
      <x:c r="N28" s="3" t="str"/>
    </x:row>
    <x:row r="29" ht="23" customHeight="1">
      <x:c r="A29" s="1" t="str">
        <x:v>2024</x:v>
      </x:c>
      <x:c r="B29" s="1" t="str">
        <x:v>all</x:v>
      </x:c>
      <x:c r="C29" s="1" t="str">
        <x:v>finance_expense</x:v>
      </x:c>
      <x:c r="D29" s="7" t="n">
        <x:v>7055294.61</x:v>
      </x:c>
      <x:c r="E29" s="1" t="str">
        <x:v>annual</x:v>
      </x:c>
      <x:c r="F29" s="1" t="str">
        <x:v>002803.SZ</x:v>
      </x:c>
      <x:c r="G29" s="1" t="str">
        <x:v>CNY</x:v>
      </x:c>
      <x:c r="H29" s="1" t="str">
        <x:v>yuan</x:v>
      </x:c>
      <x:c r="I29" s="1" t="n">
        <x:v>2024</x:v>
      </x:c>
      <x:c r="J29" s="1" t="n">
        <x:v>83</x:v>
      </x:c>
      <x:c r="K29" s="1" t="str">
        <x:v>https://static.cninfo.com.cn/finalpage/2025-04-02/1222983627.PDF</x:v>
      </x:c>
      <x:c r="L29" s="1" t="str">
        <x:v>as_reported</x:v>
      </x:c>
      <x:c r="M29" s="1" t="str">
        <x:v>public_report</x:v>
      </x:c>
      <x:c r="N29" s="3" t="str"/>
    </x:row>
    <x:row r="30" ht="23" customHeight="1">
      <x:c r="A30" s="1" t="str">
        <x:v>2024</x:v>
      </x:c>
      <x:c r="B30" s="1" t="str">
        <x:v>all</x:v>
      </x:c>
      <x:c r="C30" s="1" t="str">
        <x:v>operating_profit</x:v>
      </x:c>
      <x:c r="D30" s="7" t="n">
        <x:v>216836471.26</x:v>
      </x:c>
      <x:c r="E30" s="1" t="str">
        <x:v>annual</x:v>
      </x:c>
      <x:c r="F30" s="1" t="str">
        <x:v>002803.SZ</x:v>
      </x:c>
      <x:c r="G30" s="1" t="str">
        <x:v>CNY</x:v>
      </x:c>
      <x:c r="H30" s="1" t="str">
        <x:v>yuan</x:v>
      </x:c>
      <x:c r="I30" s="1" t="n">
        <x:v>2024</x:v>
      </x:c>
      <x:c r="J30" s="1" t="n">
        <x:v>83</x:v>
      </x:c>
      <x:c r="K30" s="1" t="str">
        <x:v>https://static.cninfo.com.cn/finalpage/2025-04-02/1222983627.PDF</x:v>
      </x:c>
      <x:c r="L30" s="1" t="str">
        <x:v>as_reported</x:v>
      </x:c>
      <x:c r="M30" s="1" t="str">
        <x:v>public_report</x:v>
      </x:c>
      <x:c r="N30" s="3" t="str"/>
    </x:row>
    <x:row r="31" ht="23" customHeight="1">
      <x:c r="A31" s="1" t="str">
        <x:v>2024</x:v>
      </x:c>
      <x:c r="B31" s="1" t="str">
        <x:v>all</x:v>
      </x:c>
      <x:c r="C31" s="1" t="str">
        <x:v>net_profit</x:v>
      </x:c>
      <x:c r="D31" s="7" t="n">
        <x:v>184450469.59</x:v>
      </x:c>
      <x:c r="E31" s="1" t="str">
        <x:v>annual</x:v>
      </x:c>
      <x:c r="F31" s="1" t="str">
        <x:v>002803.SZ</x:v>
      </x:c>
      <x:c r="G31" s="1" t="str">
        <x:v>CNY</x:v>
      </x:c>
      <x:c r="H31" s="1" t="str">
        <x:v>yuan</x:v>
      </x:c>
      <x:c r="I31" s="1" t="n">
        <x:v>2024</x:v>
      </x:c>
      <x:c r="J31" s="1" t="n">
        <x:v>84</x:v>
      </x:c>
      <x:c r="K31" s="1" t="str">
        <x:v>https://static.cninfo.com.cn/finalpage/2025-04-02/1222983627.PDF</x:v>
      </x:c>
      <x:c r="L31" s="1" t="str">
        <x:v>as_reported</x:v>
      </x:c>
      <x:c r="M31" s="1" t="str">
        <x:v>public_report</x:v>
      </x:c>
      <x:c r="N31" s="3" t="str"/>
    </x:row>
    <x:row r="32" ht="23" customHeight="1">
      <x:c r="A32" s="1" t="str">
        <x:v>2024</x:v>
      </x:c>
      <x:c r="B32" s="1" t="str">
        <x:v>all</x:v>
      </x:c>
      <x:c r="C32" s="1" t="str">
        <x:v>net_profit_parent</x:v>
      </x:c>
      <x:c r="D32" s="7" t="n">
        <x:v>181931124.57</x:v>
      </x:c>
      <x:c r="E32" s="1" t="str">
        <x:v>annual</x:v>
      </x:c>
      <x:c r="F32" s="1" t="str">
        <x:v>002803.SZ</x:v>
      </x:c>
      <x:c r="G32" s="1" t="str">
        <x:v>CNY</x:v>
      </x:c>
      <x:c r="H32" s="1" t="str">
        <x:v>yuan</x:v>
      </x:c>
      <x:c r="I32" s="1" t="n">
        <x:v>2024</x:v>
      </x:c>
      <x:c r="J32" s="1" t="n">
        <x:v>84</x:v>
      </x:c>
      <x:c r="K32" s="1" t="str">
        <x:v>https://static.cninfo.com.cn/finalpage/2025-04-02/1222983627.PDF</x:v>
      </x:c>
      <x:c r="L32" s="1" t="str">
        <x:v>as_reported</x:v>
      </x:c>
      <x:c r="M32" s="1" t="str">
        <x:v>public_report</x:v>
      </x:c>
      <x:c r="N32" s="3" t="str"/>
    </x:row>
    <x:row r="33" ht="23" customHeight="1">
      <x:c r="A33" s="1" t="str">
        <x:v>2024</x:v>
      </x:c>
      <x:c r="B33" s="1" t="str">
        <x:v>all</x:v>
      </x:c>
      <x:c r="C33" s="1" t="str">
        <x:v>net_profit_parent_excl</x:v>
      </x:c>
      <x:c r="D33" s="7" t="n">
        <x:v>159952757.73</x:v>
      </x:c>
      <x:c r="E33" s="1" t="str">
        <x:v>annual</x:v>
      </x:c>
      <x:c r="F33" s="1" t="str">
        <x:v>002803.SZ</x:v>
      </x:c>
      <x:c r="G33" s="1" t="str">
        <x:v>CNY</x:v>
      </x:c>
      <x:c r="H33" s="1" t="str">
        <x:v>yuan</x:v>
      </x:c>
      <x:c r="I33" s="1" t="n">
        <x:v>2024</x:v>
      </x:c>
      <x:c r="J33" s="1" t="n">
        <x:v>7</x:v>
      </x:c>
      <x:c r="K33" s="1" t="str">
        <x:v>https://static.cninfo.com.cn/finalpage/2025-04-02/1222983627.PDF</x:v>
      </x:c>
      <x:c r="L33" s="1" t="str">
        <x:v>as_reported</x:v>
      </x:c>
      <x:c r="M33" s="1" t="str">
        <x:v>public_report</x:v>
      </x:c>
      <x:c r="N33" s="3" t="str"/>
    </x:row>
    <x:row r="34" ht="23" customHeight="1">
      <x:c r="A34" s="1" t="str">
        <x:v>2024</x:v>
      </x:c>
      <x:c r="B34" s="1" t="str">
        <x:v>all</x:v>
      </x:c>
      <x:c r="C34" s="1" t="str">
        <x:v>operating_cash_flow</x:v>
      </x:c>
      <x:c r="D34" s="7" t="n">
        <x:v>386679604.06</x:v>
      </x:c>
      <x:c r="E34" s="1" t="str">
        <x:v>annual</x:v>
      </x:c>
      <x:c r="F34" s="1" t="str">
        <x:v>002803.SZ</x:v>
      </x:c>
      <x:c r="G34" s="1" t="str">
        <x:v>CNY</x:v>
      </x:c>
      <x:c r="H34" s="1" t="str">
        <x:v>yuan</x:v>
      </x:c>
      <x:c r="I34" s="1" t="n">
        <x:v>2024</x:v>
      </x:c>
      <x:c r="J34" s="1" t="n">
        <x:v>7</x:v>
      </x:c>
      <x:c r="K34" s="1" t="str">
        <x:v>https://static.cninfo.com.cn/finalpage/2025-04-02/1222983627.PDF</x:v>
      </x:c>
      <x:c r="L34" s="1" t="str">
        <x:v>as_reported</x:v>
      </x:c>
      <x:c r="M34" s="1" t="str">
        <x:v>public_report</x:v>
      </x:c>
      <x:c r="N34" s="3" t="str"/>
    </x:row>
    <x:row r="35" ht="23" customHeight="1">
      <x:c r="A35" s="1" t="str">
        <x:v>2025</x:v>
      </x:c>
      <x:c r="B35" s="1" t="str">
        <x:v>all</x:v>
      </x:c>
      <x:c r="C35" s="1" t="str">
        <x:v>revenue</x:v>
      </x:c>
      <x:c r="D35" s="7" t="n">
        <x:v>6721612130.17</x:v>
      </x:c>
      <x:c r="E35" s="1" t="str">
        <x:v>annual</x:v>
      </x:c>
      <x:c r="F35" s="1" t="str">
        <x:v>002803.SZ</x:v>
      </x:c>
      <x:c r="G35" s="1" t="str">
        <x:v>CNY</x:v>
      </x:c>
      <x:c r="H35" s="1" t="str">
        <x:v>yuan</x:v>
      </x:c>
      <x:c r="I35" s="1" t="n">
        <x:v>2025</x:v>
      </x:c>
      <x:c r="J35" s="1" t="n">
        <x:v>87</x:v>
      </x:c>
      <x:c r="K35" s="1" t="str">
        <x:v>https://static.cninfo.com.cn/finalpage/2026-04-01/1225066431.PDF</x:v>
      </x:c>
      <x:c r="L35" s="1" t="str">
        <x:v>as_reported</x:v>
      </x:c>
      <x:c r="M35" s="1" t="str">
        <x:v>public_report</x:v>
      </x:c>
      <x:c r="N35" s="3" t="str"/>
    </x:row>
    <x:row r="36" ht="23" customHeight="1">
      <x:c r="A36" s="1" t="str">
        <x:v>2025</x:v>
      </x:c>
      <x:c r="B36" s="1" t="str">
        <x:v>all</x:v>
      </x:c>
      <x:c r="C36" s="1" t="str">
        <x:v>cost_of_revenue</x:v>
      </x:c>
      <x:c r="D36" s="7" t="n">
        <x:v>3567623281.8</x:v>
      </x:c>
      <x:c r="E36" s="1" t="str">
        <x:v>annual</x:v>
      </x:c>
      <x:c r="F36" s="1" t="str">
        <x:v>002803.SZ</x:v>
      </x:c>
      <x:c r="G36" s="1" t="str">
        <x:v>CNY</x:v>
      </x:c>
      <x:c r="H36" s="1" t="str">
        <x:v>yuan</x:v>
      </x:c>
      <x:c r="I36" s="1" t="n">
        <x:v>2025</x:v>
      </x:c>
      <x:c r="J36" s="1" t="n">
        <x:v>87</x:v>
      </x:c>
      <x:c r="K36" s="1" t="str">
        <x:v>https://static.cninfo.com.cn/finalpage/2026-04-01/1225066431.PDF</x:v>
      </x:c>
      <x:c r="L36" s="1" t="str">
        <x:v>as_reported</x:v>
      </x:c>
      <x:c r="M36" s="1" t="str">
        <x:v>public_report</x:v>
      </x:c>
      <x:c r="N36" s="3" t="str"/>
    </x:row>
    <x:row r="37" ht="23" customHeight="1">
      <x:c r="A37" s="1" t="str">
        <x:v>2025</x:v>
      </x:c>
      <x:c r="B37" s="1" t="str">
        <x:v>all</x:v>
      </x:c>
      <x:c r="C37" s="1" t="str">
        <x:v>selling_expense</x:v>
      </x:c>
      <x:c r="D37" s="7" t="n">
        <x:v>2375772298.37</x:v>
      </x:c>
      <x:c r="E37" s="1" t="str">
        <x:v>annual</x:v>
      </x:c>
      <x:c r="F37" s="1" t="str">
        <x:v>002803.SZ</x:v>
      </x:c>
      <x:c r="G37" s="1" t="str">
        <x:v>CNY</x:v>
      </x:c>
      <x:c r="H37" s="1" t="str">
        <x:v>yuan</x:v>
      </x:c>
      <x:c r="I37" s="1" t="n">
        <x:v>2025</x:v>
      </x:c>
      <x:c r="J37" s="1" t="n">
        <x:v>88</x:v>
      </x:c>
      <x:c r="K37" s="1" t="str">
        <x:v>https://static.cninfo.com.cn/finalpage/2026-04-01/1225066431.PDF</x:v>
      </x:c>
      <x:c r="L37" s="1" t="str">
        <x:v>as_reported</x:v>
      </x:c>
      <x:c r="M37" s="1" t="str">
        <x:v>public_report</x:v>
      </x:c>
      <x:c r="N37" s="3" t="str"/>
    </x:row>
    <x:row r="38" ht="23" customHeight="1">
      <x:c r="A38" s="1" t="str">
        <x:v>2025</x:v>
      </x:c>
      <x:c r="B38" s="1" t="str">
        <x:v>all</x:v>
      </x:c>
      <x:c r="C38" s="1" t="str">
        <x:v>admin_expense</x:v>
      </x:c>
      <x:c r="D38" s="7" t="n">
        <x:v>254013260.13</x:v>
      </x:c>
      <x:c r="E38" s="1" t="str">
        <x:v>annual</x:v>
      </x:c>
      <x:c r="F38" s="1" t="str">
        <x:v>002803.SZ</x:v>
      </x:c>
      <x:c r="G38" s="1" t="str">
        <x:v>CNY</x:v>
      </x:c>
      <x:c r="H38" s="1" t="str">
        <x:v>yuan</x:v>
      </x:c>
      <x:c r="I38" s="1" t="n">
        <x:v>2025</x:v>
      </x:c>
      <x:c r="J38" s="1" t="n">
        <x:v>88</x:v>
      </x:c>
      <x:c r="K38" s="1" t="str">
        <x:v>https://static.cninfo.com.cn/finalpage/2026-04-01/1225066431.PDF</x:v>
      </x:c>
      <x:c r="L38" s="1" t="str">
        <x:v>as_reported</x:v>
      </x:c>
      <x:c r="M38" s="1" t="str">
        <x:v>public_report</x:v>
      </x:c>
      <x:c r="N38" s="3" t="str"/>
    </x:row>
    <x:row r="39" ht="23" customHeight="1">
      <x:c r="A39" s="1" t="str">
        <x:v>2025</x:v>
      </x:c>
      <x:c r="B39" s="1" t="str">
        <x:v>all</x:v>
      </x:c>
      <x:c r="C39" s="1" t="str">
        <x:v>rd_expense</x:v>
      </x:c>
      <x:c r="D39" s="7" t="n">
        <x:v>136104791.21</x:v>
      </x:c>
      <x:c r="E39" s="1" t="str">
        <x:v>annual</x:v>
      </x:c>
      <x:c r="F39" s="1" t="str">
        <x:v>002803.SZ</x:v>
      </x:c>
      <x:c r="G39" s="1" t="str">
        <x:v>CNY</x:v>
      </x:c>
      <x:c r="H39" s="1" t="str">
        <x:v>yuan</x:v>
      </x:c>
      <x:c r="I39" s="1" t="n">
        <x:v>2025</x:v>
      </x:c>
      <x:c r="J39" s="1" t="n">
        <x:v>88</x:v>
      </x:c>
      <x:c r="K39" s="1" t="str">
        <x:v>https://static.cninfo.com.cn/finalpage/2026-04-01/1225066431.PDF</x:v>
      </x:c>
      <x:c r="L39" s="1" t="str">
        <x:v>as_reported</x:v>
      </x:c>
      <x:c r="M39" s="1" t="str">
        <x:v>public_report</x:v>
      </x:c>
      <x:c r="N39" s="3" t="str"/>
    </x:row>
    <x:row r="40" ht="23" customHeight="1">
      <x:c r="A40" s="1" t="str">
        <x:v>2025</x:v>
      </x:c>
      <x:c r="B40" s="1" t="str">
        <x:v>all</x:v>
      </x:c>
      <x:c r="C40" s="1" t="str">
        <x:v>finance_expense</x:v>
      </x:c>
      <x:c r="D40" s="7" t="n">
        <x:v>27039577.11</x:v>
      </x:c>
      <x:c r="E40" s="1" t="str">
        <x:v>annual</x:v>
      </x:c>
      <x:c r="F40" s="1" t="str">
        <x:v>002803.SZ</x:v>
      </x:c>
      <x:c r="G40" s="1" t="str">
        <x:v>CNY</x:v>
      </x:c>
      <x:c r="H40" s="1" t="str">
        <x:v>yuan</x:v>
      </x:c>
      <x:c r="I40" s="1" t="n">
        <x:v>2025</x:v>
      </x:c>
      <x:c r="J40" s="1" t="n">
        <x:v>88</x:v>
      </x:c>
      <x:c r="K40" s="1" t="str">
        <x:v>https://static.cninfo.com.cn/finalpage/2026-04-01/1225066431.PDF</x:v>
      </x:c>
      <x:c r="L40" s="1" t="str">
        <x:v>as_reported</x:v>
      </x:c>
      <x:c r="M40" s="1" t="str">
        <x:v>public_report</x:v>
      </x:c>
      <x:c r="N40" s="3" t="str"/>
    </x:row>
    <x:row r="41" ht="23" customHeight="1">
      <x:c r="A41" s="1" t="str">
        <x:v>2025</x:v>
      </x:c>
      <x:c r="B41" s="1" t="str">
        <x:v>all</x:v>
      </x:c>
      <x:c r="C41" s="1" t="str">
        <x:v>operating_profit</x:v>
      </x:c>
      <x:c r="D41" s="7" t="n">
        <x:v>377570948.82</x:v>
      </x:c>
      <x:c r="E41" s="1" t="str">
        <x:v>annual</x:v>
      </x:c>
      <x:c r="F41" s="1" t="str">
        <x:v>002803.SZ</x:v>
      </x:c>
      <x:c r="G41" s="1" t="str">
        <x:v>CNY</x:v>
      </x:c>
      <x:c r="H41" s="1" t="str">
        <x:v>yuan</x:v>
      </x:c>
      <x:c r="I41" s="1" t="n">
        <x:v>2025</x:v>
      </x:c>
      <x:c r="J41" s="1" t="n">
        <x:v>88</x:v>
      </x:c>
      <x:c r="K41" s="1" t="str">
        <x:v>https://static.cninfo.com.cn/finalpage/2026-04-01/1225066431.PDF</x:v>
      </x:c>
      <x:c r="L41" s="1" t="str">
        <x:v>as_reported</x:v>
      </x:c>
      <x:c r="M41" s="1" t="str">
        <x:v>public_report</x:v>
      </x:c>
      <x:c r="N41" s="3" t="str"/>
    </x:row>
    <x:row r="42" ht="23" customHeight="1">
      <x:c r="A42" s="1" t="str">
        <x:v>2025</x:v>
      </x:c>
      <x:c r="B42" s="1" t="str">
        <x:v>all</x:v>
      </x:c>
      <x:c r="C42" s="1" t="str">
        <x:v>net_profit</x:v>
      </x:c>
      <x:c r="D42" s="7" t="n">
        <x:v>334050108.05</x:v>
      </x:c>
      <x:c r="E42" s="1" t="str">
        <x:v>annual</x:v>
      </x:c>
      <x:c r="F42" s="1" t="str">
        <x:v>002803.SZ</x:v>
      </x:c>
      <x:c r="G42" s="1" t="str">
        <x:v>CNY</x:v>
      </x:c>
      <x:c r="H42" s="1" t="str">
        <x:v>yuan</x:v>
      </x:c>
      <x:c r="I42" s="1" t="n">
        <x:v>2025</x:v>
      </x:c>
      <x:c r="J42" s="1" t="n">
        <x:v>88</x:v>
      </x:c>
      <x:c r="K42" s="1" t="str">
        <x:v>https://static.cninfo.com.cn/finalpage/2026-04-01/1225066431.PDF</x:v>
      </x:c>
      <x:c r="L42" s="1" t="str">
        <x:v>as_reported</x:v>
      </x:c>
      <x:c r="M42" s="1" t="str">
        <x:v>public_report</x:v>
      </x:c>
      <x:c r="N42" s="3" t="str"/>
    </x:row>
    <x:row r="43" ht="23" customHeight="1">
      <x:c r="A43" s="1" t="str">
        <x:v>2025</x:v>
      </x:c>
      <x:c r="B43" s="1" t="str">
        <x:v>all</x:v>
      </x:c>
      <x:c r="C43" s="1" t="str">
        <x:v>net_profit_parent</x:v>
      </x:c>
      <x:c r="D43" s="7" t="n">
        <x:v>276831969.6</x:v>
      </x:c>
      <x:c r="E43" s="1" t="str">
        <x:v>annual</x:v>
      </x:c>
      <x:c r="F43" s="1" t="str">
        <x:v>002803.SZ</x:v>
      </x:c>
      <x:c r="G43" s="1" t="str">
        <x:v>CNY</x:v>
      </x:c>
      <x:c r="H43" s="1" t="str">
        <x:v>yuan</x:v>
      </x:c>
      <x:c r="I43" s="1" t="n">
        <x:v>2025</x:v>
      </x:c>
      <x:c r="J43" s="1" t="n">
        <x:v>88</x:v>
      </x:c>
      <x:c r="K43" s="1" t="str">
        <x:v>https://static.cninfo.com.cn/finalpage/2026-04-01/1225066431.PDF</x:v>
      </x:c>
      <x:c r="L43" s="1" t="str">
        <x:v>as_reported</x:v>
      </x:c>
      <x:c r="M43" s="1" t="str">
        <x:v>public_report</x:v>
      </x:c>
      <x:c r="N43" s="3" t="str"/>
    </x:row>
    <x:row r="44" ht="23" customHeight="1">
      <x:c r="A44" s="1" t="str">
        <x:v>2025</x:v>
      </x:c>
      <x:c r="B44" s="1" t="str">
        <x:v>all</x:v>
      </x:c>
      <x:c r="C44" s="1" t="str">
        <x:v>net_profit_parent_excl</x:v>
      </x:c>
      <x:c r="D44" s="7" t="n">
        <x:v>241322792.91</x:v>
      </x:c>
      <x:c r="E44" s="1" t="str">
        <x:v>annual</x:v>
      </x:c>
      <x:c r="F44" s="1" t="str">
        <x:v>002803.SZ</x:v>
      </x:c>
      <x:c r="G44" s="1" t="str">
        <x:v>CNY</x:v>
      </x:c>
      <x:c r="H44" s="1" t="str">
        <x:v>yuan</x:v>
      </x:c>
      <x:c r="I44" s="1" t="n">
        <x:v>2025</x:v>
      </x:c>
      <x:c r="J44" s="1" t="n">
        <x:v>7</x:v>
      </x:c>
      <x:c r="K44" s="1" t="str">
        <x:v>https://static.cninfo.com.cn/finalpage/2026-04-01/1225066431.PDF</x:v>
      </x:c>
      <x:c r="L44" s="1" t="str">
        <x:v>as_reported</x:v>
      </x:c>
      <x:c r="M44" s="1" t="str">
        <x:v>public_report</x:v>
      </x:c>
      <x:c r="N44" s="3" t="str"/>
    </x:row>
    <x:row r="45" ht="23" customHeight="1">
      <x:c r="A45" s="1" t="str">
        <x:v>2025</x:v>
      </x:c>
      <x:c r="B45" s="1" t="str">
        <x:v>all</x:v>
      </x:c>
      <x:c r="C45" s="1" t="str">
        <x:v>operating_cash_flow</x:v>
      </x:c>
      <x:c r="D45" s="7" t="n">
        <x:v>261219848.71</x:v>
      </x:c>
      <x:c r="E45" s="1" t="str">
        <x:v>annual</x:v>
      </x:c>
      <x:c r="F45" s="1" t="str">
        <x:v>002803.SZ</x:v>
      </x:c>
      <x:c r="G45" s="1" t="str">
        <x:v>CNY</x:v>
      </x:c>
      <x:c r="H45" s="1" t="str">
        <x:v>yuan</x:v>
      </x:c>
      <x:c r="I45" s="1" t="n">
        <x:v>2025</x:v>
      </x:c>
      <x:c r="J45" s="1" t="n">
        <x:v>7</x:v>
      </x:c>
      <x:c r="K45" s="1" t="str">
        <x:v>https://static.cninfo.com.cn/finalpage/2026-04-01/1225066431.PDF</x:v>
      </x:c>
      <x:c r="L45" s="1" t="str">
        <x:v>as_reported</x:v>
      </x:c>
      <x:c r="M45" s="1" t="str">
        <x:v>public_report</x:v>
      </x:c>
      <x:c r="N45" s="3" t="str"/>
    </x:row>
  </x:sheetData>
  <x:pageMargins left="0.7" right="0.7" top="0.75" bottom="0.75" header="0.3" footer="0.3"/>
  <x:legacyDrawing xmlns:r="http://schemas.openxmlformats.org/officeDocument/2006/relationships" r:id="Rf707fbd52ca04343"/>
  <x:tableParts count="1">
    <x:tablePart xmlns:r="http://schemas.openxmlformats.org/officeDocument/2006/relationships" r:id="R49b2763011f14d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7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1" hidden="0" customWidth="1"/>
    <x:col min="10" max="10" width="21" hidden="0" customWidth="1"/>
    <x:col min="11" max="11" width="80" hidden="0" customWidth="1"/>
    <x:col min="12" max="12" width="17" hidden="0" customWidth="1"/>
    <x:col min="13" max="13" width="17" hidden="0" customWidth="1"/>
    <x:col min="14" max="14" width="75" hidden="0" customWidth="1"/>
  </x:cols>
  <x:sheetData>
    <x:row r="1" ht="34" customHeight="1">
      <x:c r="A1" s="6" t="str">
        <x:v>period</x:v>
      </x:c>
      <x:c r="B1" s="6" t="str">
        <x:v>business_unit</x:v>
      </x:c>
      <x:c r="C1" s="6" t="str">
        <x:v>metric</x:v>
      </x:c>
      <x:c r="D1" s="6" t="str">
        <x:v>value</x:v>
      </x:c>
      <x:c r="E1" s="6" t="str">
        <x:v>dataset_type</x:v>
      </x:c>
      <x:c r="F1" s="6" t="str">
        <x:v>company_code</x:v>
      </x:c>
      <x:c r="G1" s="6" t="str">
        <x:v>currency</x:v>
      </x:c>
      <x:c r="H1" s="6" t="str">
        <x:v>unit</x:v>
      </x:c>
      <x:c r="I1" s="6" t="str">
        <x:v>source_report_year</x:v>
      </x:c>
      <x:c r="J1" s="6" t="str">
        <x:v>source_page</x:v>
      </x:c>
      <x:c r="K1" s="6" t="str">
        <x:v>source_url</x:v>
      </x:c>
      <x:c r="L1" s="6" t="str">
        <x:v>basis</x:v>
      </x:c>
      <x:c r="M1" s="6" t="str">
        <x:v>data_kind</x:v>
      </x:c>
      <x:c r="N1" s="6" t="str">
        <x:v>notes</x:v>
      </x:c>
    </x:row>
    <x:row r="2" ht="23" customHeight="1">
      <x:c r="A2" s="1" t="str">
        <x:v>2022-Q1</x:v>
      </x:c>
      <x:c r="B2" s="1" t="str">
        <x:v>all</x:v>
      </x:c>
      <x:c r="C2" s="1" t="str">
        <x:v>revenue</x:v>
      </x:c>
      <x:c r="D2" s="7" t="n">
        <x:v>1202680069.19</x:v>
      </x:c>
      <x:c r="E2" s="1" t="str">
        <x:v>quarterly</x:v>
      </x:c>
      <x:c r="F2" s="1" t="str">
        <x:v>002803.SZ</x:v>
      </x:c>
      <x:c r="G2" s="1" t="str">
        <x:v>CNY</x:v>
      </x:c>
      <x:c r="H2" s="1" t="str">
        <x:v>yuan</x:v>
      </x:c>
      <x:c r="I2" s="1" t="n">
        <x:v>2022</x:v>
      </x:c>
      <x:c r="J2" s="1" t="n">
        <x:v>8</x:v>
      </x:c>
      <x:c r="K2" s="1" t="str">
        <x:v>https://static.cninfo.com.cn/finalpage/2023-04-12/1216381312.PDF</x:v>
      </x:c>
      <x:c r="L2" s="1" t="str">
        <x:v>as_reported</x:v>
      </x:c>
      <x:c r="M2" s="1" t="str">
        <x:v>public_report</x:v>
      </x:c>
      <x:c r="N2" s="3" t="str"/>
    </x:row>
    <x:row r="3" ht="23" customHeight="1">
      <x:c r="A3" s="1" t="str">
        <x:v>2022-Q2</x:v>
      </x:c>
      <x:c r="B3" s="1" t="str">
        <x:v>all</x:v>
      </x:c>
      <x:c r="C3" s="1" t="str">
        <x:v>revenue</x:v>
      </x:c>
      <x:c r="D3" s="7" t="n">
        <x:v>1418509555.71</x:v>
      </x:c>
      <x:c r="E3" s="1" t="str">
        <x:v>quarterly</x:v>
      </x:c>
      <x:c r="F3" s="1" t="str">
        <x:v>002803.SZ</x:v>
      </x:c>
      <x:c r="G3" s="1" t="str">
        <x:v>CNY</x:v>
      </x:c>
      <x:c r="H3" s="1" t="str">
        <x:v>yuan</x:v>
      </x:c>
      <x:c r="I3" s="1" t="n">
        <x:v>2022</x:v>
      </x:c>
      <x:c r="J3" s="1" t="n">
        <x:v>8</x:v>
      </x:c>
      <x:c r="K3" s="1" t="str">
        <x:v>https://static.cninfo.com.cn/finalpage/2023-04-12/1216381312.PDF</x:v>
      </x:c>
      <x:c r="L3" s="1" t="str">
        <x:v>as_reported</x:v>
      </x:c>
      <x:c r="M3" s="1" t="str">
        <x:v>public_report</x:v>
      </x:c>
      <x:c r="N3" s="3" t="str"/>
    </x:row>
    <x:row r="4" ht="23" customHeight="1">
      <x:c r="A4" s="1" t="str">
        <x:v>2022-Q3</x:v>
      </x:c>
      <x:c r="B4" s="1" t="str">
        <x:v>all</x:v>
      </x:c>
      <x:c r="C4" s="1" t="str">
        <x:v>revenue</x:v>
      </x:c>
      <x:c r="D4" s="7" t="n">
        <x:v>1315307467.28</x:v>
      </x:c>
      <x:c r="E4" s="1" t="str">
        <x:v>quarterly</x:v>
      </x:c>
      <x:c r="F4" s="1" t="str">
        <x:v>002803.SZ</x:v>
      </x:c>
      <x:c r="G4" s="1" t="str">
        <x:v>CNY</x:v>
      </x:c>
      <x:c r="H4" s="1" t="str">
        <x:v>yuan</x:v>
      </x:c>
      <x:c r="I4" s="1" t="n">
        <x:v>2022</x:v>
      </x:c>
      <x:c r="J4" s="1" t="n">
        <x:v>8</x:v>
      </x:c>
      <x:c r="K4" s="1" t="str">
        <x:v>https://static.cninfo.com.cn/finalpage/2023-04-12/1216381312.PDF</x:v>
      </x:c>
      <x:c r="L4" s="1" t="str">
        <x:v>as_reported</x:v>
      </x:c>
      <x:c r="M4" s="1" t="str">
        <x:v>public_report</x:v>
      </x:c>
      <x:c r="N4" s="3" t="str"/>
    </x:row>
    <x:row r="5" ht="23" customHeight="1">
      <x:c r="A5" s="1" t="str">
        <x:v>2022-Q4</x:v>
      </x:c>
      <x:c r="B5" s="1" t="str">
        <x:v>all</x:v>
      </x:c>
      <x:c r="C5" s="1" t="str">
        <x:v>revenue</x:v>
      </x:c>
      <x:c r="D5" s="7" t="n">
        <x:v>1439386533.51</x:v>
      </x:c>
      <x:c r="E5" s="1" t="str">
        <x:v>quarterly</x:v>
      </x:c>
      <x:c r="F5" s="1" t="str">
        <x:v>002803.SZ</x:v>
      </x:c>
      <x:c r="G5" s="1" t="str">
        <x:v>CNY</x:v>
      </x:c>
      <x:c r="H5" s="1" t="str">
        <x:v>yuan</x:v>
      </x:c>
      <x:c r="I5" s="1" t="n">
        <x:v>2022</x:v>
      </x:c>
      <x:c r="J5" s="1" t="n">
        <x:v>8</x:v>
      </x:c>
      <x:c r="K5" s="1" t="str">
        <x:v>https://static.cninfo.com.cn/finalpage/2023-04-12/1216381312.PDF</x:v>
      </x:c>
      <x:c r="L5" s="1" t="str">
        <x:v>as_reported</x:v>
      </x:c>
      <x:c r="M5" s="1" t="str">
        <x:v>public_report</x:v>
      </x:c>
      <x:c r="N5" s="3" t="str"/>
    </x:row>
    <x:row r="6" ht="23" customHeight="1">
      <x:c r="A6" s="1" t="str">
        <x:v>2022-Q1</x:v>
      </x:c>
      <x:c r="B6" s="1" t="str">
        <x:v>all</x:v>
      </x:c>
      <x:c r="C6" s="1" t="str">
        <x:v>net_profit_parent</x:v>
      </x:c>
      <x:c r="D6" s="7" t="n">
        <x:v>42866595.21</x:v>
      </x:c>
      <x:c r="E6" s="1" t="str">
        <x:v>quarterly</x:v>
      </x:c>
      <x:c r="F6" s="1" t="str">
        <x:v>002803.SZ</x:v>
      </x:c>
      <x:c r="G6" s="1" t="str">
        <x:v>CNY</x:v>
      </x:c>
      <x:c r="H6" s="1" t="str">
        <x:v>yuan</x:v>
      </x:c>
      <x:c r="I6" s="1" t="n">
        <x:v>2022</x:v>
      </x:c>
      <x:c r="J6" s="1" t="n">
        <x:v>8</x:v>
      </x:c>
      <x:c r="K6" s="1" t="str">
        <x:v>https://static.cninfo.com.cn/finalpage/2023-04-12/1216381312.PDF</x:v>
      </x:c>
      <x:c r="L6" s="1" t="str">
        <x:v>as_reported</x:v>
      </x:c>
      <x:c r="M6" s="1" t="str">
        <x:v>public_report</x:v>
      </x:c>
      <x:c r="N6" s="3" t="str"/>
    </x:row>
    <x:row r="7" ht="23" customHeight="1">
      <x:c r="A7" s="1" t="str">
        <x:v>2022-Q2</x:v>
      </x:c>
      <x:c r="B7" s="1" t="str">
        <x:v>all</x:v>
      </x:c>
      <x:c r="C7" s="1" t="str">
        <x:v>net_profit_parent</x:v>
      </x:c>
      <x:c r="D7" s="7" t="n">
        <x:v>72439014.27</x:v>
      </x:c>
      <x:c r="E7" s="1" t="str">
        <x:v>quarterly</x:v>
      </x:c>
      <x:c r="F7" s="1" t="str">
        <x:v>002803.SZ</x:v>
      </x:c>
      <x:c r="G7" s="1" t="str">
        <x:v>CNY</x:v>
      </x:c>
      <x:c r="H7" s="1" t="str">
        <x:v>yuan</x:v>
      </x:c>
      <x:c r="I7" s="1" t="n">
        <x:v>2022</x:v>
      </x:c>
      <x:c r="J7" s="1" t="n">
        <x:v>8</x:v>
      </x:c>
      <x:c r="K7" s="1" t="str">
        <x:v>https://static.cninfo.com.cn/finalpage/2023-04-12/1216381312.PDF</x:v>
      </x:c>
      <x:c r="L7" s="1" t="str">
        <x:v>as_reported</x:v>
      </x:c>
      <x:c r="M7" s="1" t="str">
        <x:v>public_report</x:v>
      </x:c>
      <x:c r="N7" s="3" t="str"/>
    </x:row>
    <x:row r="8" ht="23" customHeight="1">
      <x:c r="A8" s="1" t="str">
        <x:v>2022-Q3</x:v>
      </x:c>
      <x:c r="B8" s="1" t="str">
        <x:v>all</x:v>
      </x:c>
      <x:c r="C8" s="1" t="str">
        <x:v>net_profit_parent</x:v>
      </x:c>
      <x:c r="D8" s="7" t="n">
        <x:v>83389220.7</x:v>
      </x:c>
      <x:c r="E8" s="1" t="str">
        <x:v>quarterly</x:v>
      </x:c>
      <x:c r="F8" s="1" t="str">
        <x:v>002803.SZ</x:v>
      </x:c>
      <x:c r="G8" s="1" t="str">
        <x:v>CNY</x:v>
      </x:c>
      <x:c r="H8" s="1" t="str">
        <x:v>yuan</x:v>
      </x:c>
      <x:c r="I8" s="1" t="n">
        <x:v>2022</x:v>
      </x:c>
      <x:c r="J8" s="1" t="n">
        <x:v>8</x:v>
      </x:c>
      <x:c r="K8" s="1" t="str">
        <x:v>https://static.cninfo.com.cn/finalpage/2023-04-12/1216381312.PDF</x:v>
      </x:c>
      <x:c r="L8" s="1" t="str">
        <x:v>as_reported</x:v>
      </x:c>
      <x:c r="M8" s="1" t="str">
        <x:v>public_report</x:v>
      </x:c>
      <x:c r="N8" s="3" t="str"/>
    </x:row>
    <x:row r="9" ht="23" customHeight="1">
      <x:c r="A9" s="1" t="str">
        <x:v>2022-Q4</x:v>
      </x:c>
      <x:c r="B9" s="1" t="str">
        <x:v>all</x:v>
      </x:c>
      <x:c r="C9" s="1" t="str">
        <x:v>net_profit_parent</x:v>
      </x:c>
      <x:c r="D9" s="7" t="n">
        <x:v>-14714932.67</x:v>
      </x:c>
      <x:c r="E9" s="1" t="str">
        <x:v>quarterly</x:v>
      </x:c>
      <x:c r="F9" s="1" t="str">
        <x:v>002803.SZ</x:v>
      </x:c>
      <x:c r="G9" s="1" t="str">
        <x:v>CNY</x:v>
      </x:c>
      <x:c r="H9" s="1" t="str">
        <x:v>yuan</x:v>
      </x:c>
      <x:c r="I9" s="1" t="n">
        <x:v>2022</x:v>
      </x:c>
      <x:c r="J9" s="1" t="n">
        <x:v>8</x:v>
      </x:c>
      <x:c r="K9" s="1" t="str">
        <x:v>https://static.cninfo.com.cn/finalpage/2023-04-12/1216381312.PDF</x:v>
      </x:c>
      <x:c r="L9" s="1" t="str">
        <x:v>as_reported</x:v>
      </x:c>
      <x:c r="M9" s="1" t="str">
        <x:v>public_report</x:v>
      </x:c>
      <x:c r="N9" s="3" t="str"/>
    </x:row>
    <x:row r="10" ht="23" customHeight="1">
      <x:c r="A10" s="1" t="str">
        <x:v>2022-Q1</x:v>
      </x:c>
      <x:c r="B10" s="1" t="str">
        <x:v>all</x:v>
      </x:c>
      <x:c r="C10" s="1" t="str">
        <x:v>net_profit_parent_excl</x:v>
      </x:c>
      <x:c r="D10" s="7" t="n">
        <x:v>39026720.35</x:v>
      </x:c>
      <x:c r="E10" s="1" t="str">
        <x:v>quarterly</x:v>
      </x:c>
      <x:c r="F10" s="1" t="str">
        <x:v>002803.SZ</x:v>
      </x:c>
      <x:c r="G10" s="1" t="str">
        <x:v>CNY</x:v>
      </x:c>
      <x:c r="H10" s="1" t="str">
        <x:v>yuan</x:v>
      </x:c>
      <x:c r="I10" s="1" t="n">
        <x:v>2022</x:v>
      </x:c>
      <x:c r="J10" s="1" t="n">
        <x:v>8</x:v>
      </x:c>
      <x:c r="K10" s="1" t="str">
        <x:v>https://static.cninfo.com.cn/finalpage/2023-04-12/1216381312.PDF</x:v>
      </x:c>
      <x:c r="L10" s="1" t="str">
        <x:v>as_reported</x:v>
      </x:c>
      <x:c r="M10" s="1" t="str">
        <x:v>public_report</x:v>
      </x:c>
      <x:c r="N10" s="3" t="str"/>
    </x:row>
    <x:row r="11" ht="23" customHeight="1">
      <x:c r="A11" s="1" t="str">
        <x:v>2022-Q2</x:v>
      </x:c>
      <x:c r="B11" s="1" t="str">
        <x:v>all</x:v>
      </x:c>
      <x:c r="C11" s="1" t="str">
        <x:v>net_profit_parent_excl</x:v>
      </x:c>
      <x:c r="D11" s="7" t="n">
        <x:v>63190210.72</x:v>
      </x:c>
      <x:c r="E11" s="1" t="str">
        <x:v>quarterly</x:v>
      </x:c>
      <x:c r="F11" s="1" t="str">
        <x:v>002803.SZ</x:v>
      </x:c>
      <x:c r="G11" s="1" t="str">
        <x:v>CNY</x:v>
      </x:c>
      <x:c r="H11" s="1" t="str">
        <x:v>yuan</x:v>
      </x:c>
      <x:c r="I11" s="1" t="n">
        <x:v>2022</x:v>
      </x:c>
      <x:c r="J11" s="1" t="n">
        <x:v>8</x:v>
      </x:c>
      <x:c r="K11" s="1" t="str">
        <x:v>https://static.cninfo.com.cn/finalpage/2023-04-12/1216381312.PDF</x:v>
      </x:c>
      <x:c r="L11" s="1" t="str">
        <x:v>as_reported</x:v>
      </x:c>
      <x:c r="M11" s="1" t="str">
        <x:v>public_report</x:v>
      </x:c>
      <x:c r="N11" s="3" t="str"/>
    </x:row>
    <x:row r="12" ht="23" customHeight="1">
      <x:c r="A12" s="1" t="str">
        <x:v>2022-Q3</x:v>
      </x:c>
      <x:c r="B12" s="1" t="str">
        <x:v>all</x:v>
      </x:c>
      <x:c r="C12" s="1" t="str">
        <x:v>net_profit_parent_excl</x:v>
      </x:c>
      <x:c r="D12" s="7" t="n">
        <x:v>78404263.41</x:v>
      </x:c>
      <x:c r="E12" s="1" t="str">
        <x:v>quarterly</x:v>
      </x:c>
      <x:c r="F12" s="1" t="str">
        <x:v>002803.SZ</x:v>
      </x:c>
      <x:c r="G12" s="1" t="str">
        <x:v>CNY</x:v>
      </x:c>
      <x:c r="H12" s="1" t="str">
        <x:v>yuan</x:v>
      </x:c>
      <x:c r="I12" s="1" t="n">
        <x:v>2022</x:v>
      </x:c>
      <x:c r="J12" s="1" t="n">
        <x:v>8</x:v>
      </x:c>
      <x:c r="K12" s="1" t="str">
        <x:v>https://static.cninfo.com.cn/finalpage/2023-04-12/1216381312.PDF</x:v>
      </x:c>
      <x:c r="L12" s="1" t="str">
        <x:v>as_reported</x:v>
      </x:c>
      <x:c r="M12" s="1" t="str">
        <x:v>public_report</x:v>
      </x:c>
      <x:c r="N12" s="3" t="str"/>
    </x:row>
    <x:row r="13" ht="23" customHeight="1">
      <x:c r="A13" s="1" t="str">
        <x:v>2022-Q4</x:v>
      </x:c>
      <x:c r="B13" s="1" t="str">
        <x:v>all</x:v>
      </x:c>
      <x:c r="C13" s="1" t="str">
        <x:v>net_profit_parent_excl</x:v>
      </x:c>
      <x:c r="D13" s="7" t="n">
        <x:v>-11303694.63</x:v>
      </x:c>
      <x:c r="E13" s="1" t="str">
        <x:v>quarterly</x:v>
      </x:c>
      <x:c r="F13" s="1" t="str">
        <x:v>002803.SZ</x:v>
      </x:c>
      <x:c r="G13" s="1" t="str">
        <x:v>CNY</x:v>
      </x:c>
      <x:c r="H13" s="1" t="str">
        <x:v>yuan</x:v>
      </x:c>
      <x:c r="I13" s="1" t="n">
        <x:v>2022</x:v>
      </x:c>
      <x:c r="J13" s="1" t="n">
        <x:v>8</x:v>
      </x:c>
      <x:c r="K13" s="1" t="str">
        <x:v>https://static.cninfo.com.cn/finalpage/2023-04-12/1216381312.PDF</x:v>
      </x:c>
      <x:c r="L13" s="1" t="str">
        <x:v>as_reported</x:v>
      </x:c>
      <x:c r="M13" s="1" t="str">
        <x:v>public_report</x:v>
      </x:c>
      <x:c r="N13" s="3" t="str"/>
    </x:row>
    <x:row r="14" ht="62" customHeight="1">
      <x:c r="A14" s="1" t="str">
        <x:v>2022-Q1</x:v>
      </x:c>
      <x:c r="B14" s="1" t="str">
        <x:v>all</x:v>
      </x:c>
      <x:c r="C14" s="1" t="str">
        <x:v>operating_cash_flow</x:v>
      </x:c>
      <x:c r="D14" s="7" t="n">
        <x:v>16301795.3</x:v>
      </x:c>
      <x:c r="E14" s="1" t="str">
        <x:v>quarterly</x:v>
      </x:c>
      <x:c r="F14" s="1" t="str">
        <x:v>002803.SZ</x:v>
      </x:c>
      <x:c r="G14" s="1" t="str">
        <x:v>CNY</x:v>
      </x:c>
      <x:c r="H14" s="1" t="str">
        <x:v>yuan</x:v>
      </x:c>
      <x:c r="I14" s="1" t="n">
        <x:v>2022</x:v>
      </x:c>
      <x:c r="J14" s="1" t="n">
        <x:v>8</x:v>
      </x:c>
      <x:c r="K14" s="1" t="str">
        <x:v>https://static.cninfo.com.cn/finalpage/2023-04-12/1216381312.PDF</x:v>
      </x:c>
      <x:c r="L14" s="1" t="str">
        <x:v>as_reported</x:v>
      </x:c>
      <x:c r="M14" s="1" t="str">
        <x:v>public_report</x:v>
      </x:c>
      <x:c r="N14" s="3" t="str">
        <x:v>当年原披露单季度值；与2022原年报全年现金流一致。</x:v>
      </x:c>
    </x:row>
    <x:row r="15" ht="62" customHeight="1">
      <x:c r="A15" s="1" t="str">
        <x:v>2022-Q2</x:v>
      </x:c>
      <x:c r="B15" s="1" t="str">
        <x:v>all</x:v>
      </x:c>
      <x:c r="C15" s="1" t="str">
        <x:v>operating_cash_flow</x:v>
      </x:c>
      <x:c r="D15" s="7" t="n">
        <x:v>196900523.1</x:v>
      </x:c>
      <x:c r="E15" s="1" t="str">
        <x:v>quarterly</x:v>
      </x:c>
      <x:c r="F15" s="1" t="str">
        <x:v>002803.SZ</x:v>
      </x:c>
      <x:c r="G15" s="1" t="str">
        <x:v>CNY</x:v>
      </x:c>
      <x:c r="H15" s="1" t="str">
        <x:v>yuan</x:v>
      </x:c>
      <x:c r="I15" s="1" t="n">
        <x:v>2022</x:v>
      </x:c>
      <x:c r="J15" s="1" t="n">
        <x:v>8</x:v>
      </x:c>
      <x:c r="K15" s="1" t="str">
        <x:v>https://static.cninfo.com.cn/finalpage/2023-04-12/1216381312.PDF</x:v>
      </x:c>
      <x:c r="L15" s="1" t="str">
        <x:v>as_reported</x:v>
      </x:c>
      <x:c r="M15" s="1" t="str">
        <x:v>public_report</x:v>
      </x:c>
      <x:c r="N15" s="3" t="str">
        <x:v>当年原披露单季度值；与2022原年报全年现金流一致。</x:v>
      </x:c>
    </x:row>
    <x:row r="16" ht="62" customHeight="1">
      <x:c r="A16" s="1" t="str">
        <x:v>2022-Q3</x:v>
      </x:c>
      <x:c r="B16" s="1" t="str">
        <x:v>all</x:v>
      </x:c>
      <x:c r="C16" s="1" t="str">
        <x:v>operating_cash_flow</x:v>
      </x:c>
      <x:c r="D16" s="7" t="n">
        <x:v>48225101.62</x:v>
      </x:c>
      <x:c r="E16" s="1" t="str">
        <x:v>quarterly</x:v>
      </x:c>
      <x:c r="F16" s="1" t="str">
        <x:v>002803.SZ</x:v>
      </x:c>
      <x:c r="G16" s="1" t="str">
        <x:v>CNY</x:v>
      </x:c>
      <x:c r="H16" s="1" t="str">
        <x:v>yuan</x:v>
      </x:c>
      <x:c r="I16" s="1" t="n">
        <x:v>2022</x:v>
      </x:c>
      <x:c r="J16" s="1" t="n">
        <x:v>8</x:v>
      </x:c>
      <x:c r="K16" s="1" t="str">
        <x:v>https://static.cninfo.com.cn/finalpage/2023-04-12/1216381312.PDF</x:v>
      </x:c>
      <x:c r="L16" s="1" t="str">
        <x:v>as_reported</x:v>
      </x:c>
      <x:c r="M16" s="1" t="str">
        <x:v>public_report</x:v>
      </x:c>
      <x:c r="N16" s="3" t="str">
        <x:v>当年原披露单季度值；与2022原年报全年现金流一致。</x:v>
      </x:c>
    </x:row>
    <x:row r="17" ht="62" customHeight="1">
      <x:c r="A17" s="1" t="str">
        <x:v>2022-Q4</x:v>
      </x:c>
      <x:c r="B17" s="1" t="str">
        <x:v>all</x:v>
      </x:c>
      <x:c r="C17" s="1" t="str">
        <x:v>operating_cash_flow</x:v>
      </x:c>
      <x:c r="D17" s="7" t="n">
        <x:v>111413756.47</x:v>
      </x:c>
      <x:c r="E17" s="1" t="str">
        <x:v>quarterly</x:v>
      </x:c>
      <x:c r="F17" s="1" t="str">
        <x:v>002803.SZ</x:v>
      </x:c>
      <x:c r="G17" s="1" t="str">
        <x:v>CNY</x:v>
      </x:c>
      <x:c r="H17" s="1" t="str">
        <x:v>yuan</x:v>
      </x:c>
      <x:c r="I17" s="1" t="n">
        <x:v>2022</x:v>
      </x:c>
      <x:c r="J17" s="1" t="n">
        <x:v>8</x:v>
      </x:c>
      <x:c r="K17" s="1" t="str">
        <x:v>https://static.cninfo.com.cn/finalpage/2023-04-12/1216381312.PDF</x:v>
      </x:c>
      <x:c r="L17" s="1" t="str">
        <x:v>as_reported</x:v>
      </x:c>
      <x:c r="M17" s="1" t="str">
        <x:v>public_report</x:v>
      </x:c>
      <x:c r="N17" s="3" t="str">
        <x:v>当年原披露单季度值；与2022原年报全年现金流一致。</x:v>
      </x:c>
    </x:row>
    <x:row r="18" ht="23" customHeight="1">
      <x:c r="A18" s="1" t="str">
        <x:v>2023-Q1</x:v>
      </x:c>
      <x:c r="B18" s="1" t="str">
        <x:v>all</x:v>
      </x:c>
      <x:c r="C18" s="1" t="str">
        <x:v>revenue</x:v>
      </x:c>
      <x:c r="D18" s="7" t="n">
        <x:v>1376008156.67</x:v>
      </x:c>
      <x:c r="E18" s="1" t="str">
        <x:v>quarterly</x:v>
      </x:c>
      <x:c r="F18" s="1" t="str">
        <x:v>002803.SZ</x:v>
      </x:c>
      <x:c r="G18" s="1" t="str">
        <x:v>CNY</x:v>
      </x:c>
      <x:c r="H18" s="1" t="str">
        <x:v>yuan</x:v>
      </x:c>
      <x:c r="I18" s="1" t="n">
        <x:v>2023</x:v>
      </x:c>
      <x:c r="J18" s="1" t="n">
        <x:v>8</x:v>
      </x:c>
      <x:c r="K18" s="1" t="str">
        <x:v>https://static.cninfo.com.cn/finalpage/2024-03-30/1219463249.PDF</x:v>
      </x:c>
      <x:c r="L18" s="1" t="str">
        <x:v>as_reported</x:v>
      </x:c>
      <x:c r="M18" s="1" t="str">
        <x:v>public_report</x:v>
      </x:c>
      <x:c r="N18" s="3" t="str"/>
    </x:row>
    <x:row r="19" ht="23" customHeight="1">
      <x:c r="A19" s="1" t="str">
        <x:v>2023-Q2</x:v>
      </x:c>
      <x:c r="B19" s="1" t="str">
        <x:v>all</x:v>
      </x:c>
      <x:c r="C19" s="1" t="str">
        <x:v>revenue</x:v>
      </x:c>
      <x:c r="D19" s="7" t="n">
        <x:v>1768191021.7</x:v>
      </x:c>
      <x:c r="E19" s="1" t="str">
        <x:v>quarterly</x:v>
      </x:c>
      <x:c r="F19" s="1" t="str">
        <x:v>002803.SZ</x:v>
      </x:c>
      <x:c r="G19" s="1" t="str">
        <x:v>CNY</x:v>
      </x:c>
      <x:c r="H19" s="1" t="str">
        <x:v>yuan</x:v>
      </x:c>
      <x:c r="I19" s="1" t="n">
        <x:v>2023</x:v>
      </x:c>
      <x:c r="J19" s="1" t="n">
        <x:v>8</x:v>
      </x:c>
      <x:c r="K19" s="1" t="str">
        <x:v>https://static.cninfo.com.cn/finalpage/2024-03-30/1219463249.PDF</x:v>
      </x:c>
      <x:c r="L19" s="1" t="str">
        <x:v>as_reported</x:v>
      </x:c>
      <x:c r="M19" s="1" t="str">
        <x:v>public_report</x:v>
      </x:c>
      <x:c r="N19" s="3" t="str"/>
    </x:row>
    <x:row r="20" ht="23" customHeight="1">
      <x:c r="A20" s="1" t="str">
        <x:v>2023-Q3</x:v>
      </x:c>
      <x:c r="B20" s="1" t="str">
        <x:v>all</x:v>
      </x:c>
      <x:c r="C20" s="1" t="str">
        <x:v>revenue</x:v>
      </x:c>
      <x:c r="D20" s="7" t="n">
        <x:v>1786420710.13</x:v>
      </x:c>
      <x:c r="E20" s="1" t="str">
        <x:v>quarterly</x:v>
      </x:c>
      <x:c r="F20" s="1" t="str">
        <x:v>002803.SZ</x:v>
      </x:c>
      <x:c r="G20" s="1" t="str">
        <x:v>CNY</x:v>
      </x:c>
      <x:c r="H20" s="1" t="str">
        <x:v>yuan</x:v>
      </x:c>
      <x:c r="I20" s="1" t="n">
        <x:v>2023</x:v>
      </x:c>
      <x:c r="J20" s="1" t="n">
        <x:v>8</x:v>
      </x:c>
      <x:c r="K20" s="1" t="str">
        <x:v>https://static.cninfo.com.cn/finalpage/2024-03-30/1219463249.PDF</x:v>
      </x:c>
      <x:c r="L20" s="1" t="str">
        <x:v>as_reported</x:v>
      </x:c>
      <x:c r="M20" s="1" t="str">
        <x:v>public_report</x:v>
      </x:c>
      <x:c r="N20" s="3" t="str"/>
    </x:row>
    <x:row r="21" ht="23" customHeight="1">
      <x:c r="A21" s="1" t="str">
        <x:v>2023-Q4</x:v>
      </x:c>
      <x:c r="B21" s="1" t="str">
        <x:v>all</x:v>
      </x:c>
      <x:c r="C21" s="1" t="str">
        <x:v>revenue</x:v>
      </x:c>
      <x:c r="D21" s="7" t="n">
        <x:v>1764060763.84</x:v>
      </x:c>
      <x:c r="E21" s="1" t="str">
        <x:v>quarterly</x:v>
      </x:c>
      <x:c r="F21" s="1" t="str">
        <x:v>002803.SZ</x:v>
      </x:c>
      <x:c r="G21" s="1" t="str">
        <x:v>CNY</x:v>
      </x:c>
      <x:c r="H21" s="1" t="str">
        <x:v>yuan</x:v>
      </x:c>
      <x:c r="I21" s="1" t="n">
        <x:v>2023</x:v>
      </x:c>
      <x:c r="J21" s="1" t="n">
        <x:v>8</x:v>
      </x:c>
      <x:c r="K21" s="1" t="str">
        <x:v>https://static.cninfo.com.cn/finalpage/2024-03-30/1219463249.PDF</x:v>
      </x:c>
      <x:c r="L21" s="1" t="str">
        <x:v>as_reported</x:v>
      </x:c>
      <x:c r="M21" s="1" t="str">
        <x:v>public_report</x:v>
      </x:c>
      <x:c r="N21" s="3" t="str"/>
    </x:row>
    <x:row r="22" ht="23" customHeight="1">
      <x:c r="A22" s="1" t="str">
        <x:v>2023-Q1</x:v>
      </x:c>
      <x:c r="B22" s="1" t="str">
        <x:v>all</x:v>
      </x:c>
      <x:c r="C22" s="1" t="str">
        <x:v>net_profit_parent</x:v>
      </x:c>
      <x:c r="D22" s="7" t="n">
        <x:v>70430791.12</x:v>
      </x:c>
      <x:c r="E22" s="1" t="str">
        <x:v>quarterly</x:v>
      </x:c>
      <x:c r="F22" s="1" t="str">
        <x:v>002803.SZ</x:v>
      </x:c>
      <x:c r="G22" s="1" t="str">
        <x:v>CNY</x:v>
      </x:c>
      <x:c r="H22" s="1" t="str">
        <x:v>yuan</x:v>
      </x:c>
      <x:c r="I22" s="1" t="n">
        <x:v>2023</x:v>
      </x:c>
      <x:c r="J22" s="1" t="n">
        <x:v>8</x:v>
      </x:c>
      <x:c r="K22" s="1" t="str">
        <x:v>https://static.cninfo.com.cn/finalpage/2024-03-30/1219463249.PDF</x:v>
      </x:c>
      <x:c r="L22" s="1" t="str">
        <x:v>as_reported</x:v>
      </x:c>
      <x:c r="M22" s="1" t="str">
        <x:v>public_report</x:v>
      </x:c>
      <x:c r="N22" s="3" t="str"/>
    </x:row>
    <x:row r="23" ht="23" customHeight="1">
      <x:c r="A23" s="1" t="str">
        <x:v>2023-Q2</x:v>
      </x:c>
      <x:c r="B23" s="1" t="str">
        <x:v>all</x:v>
      </x:c>
      <x:c r="C23" s="1" t="str">
        <x:v>net_profit_parent</x:v>
      </x:c>
      <x:c r="D23" s="7" t="n">
        <x:v>119019455.1</x:v>
      </x:c>
      <x:c r="E23" s="1" t="str">
        <x:v>quarterly</x:v>
      </x:c>
      <x:c r="F23" s="1" t="str">
        <x:v>002803.SZ</x:v>
      </x:c>
      <x:c r="G23" s="1" t="str">
        <x:v>CNY</x:v>
      </x:c>
      <x:c r="H23" s="1" t="str">
        <x:v>yuan</x:v>
      </x:c>
      <x:c r="I23" s="1" t="n">
        <x:v>2023</x:v>
      </x:c>
      <x:c r="J23" s="1" t="n">
        <x:v>8</x:v>
      </x:c>
      <x:c r="K23" s="1" t="str">
        <x:v>https://static.cninfo.com.cn/finalpage/2024-03-30/1219463249.PDF</x:v>
      </x:c>
      <x:c r="L23" s="1" t="str">
        <x:v>as_reported</x:v>
      </x:c>
      <x:c r="M23" s="1" t="str">
        <x:v>public_report</x:v>
      </x:c>
      <x:c r="N23" s="3" t="str"/>
    </x:row>
    <x:row r="24" ht="23" customHeight="1">
      <x:c r="A24" s="1" t="str">
        <x:v>2023-Q3</x:v>
      </x:c>
      <x:c r="B24" s="1" t="str">
        <x:v>all</x:v>
      </x:c>
      <x:c r="C24" s="1" t="str">
        <x:v>net_profit_parent</x:v>
      </x:c>
      <x:c r="D24" s="7" t="n">
        <x:v>131263519.61</x:v>
      </x:c>
      <x:c r="E24" s="1" t="str">
        <x:v>quarterly</x:v>
      </x:c>
      <x:c r="F24" s="1" t="str">
        <x:v>002803.SZ</x:v>
      </x:c>
      <x:c r="G24" s="1" t="str">
        <x:v>CNY</x:v>
      </x:c>
      <x:c r="H24" s="1" t="str">
        <x:v>yuan</x:v>
      </x:c>
      <x:c r="I24" s="1" t="n">
        <x:v>2023</x:v>
      </x:c>
      <x:c r="J24" s="1" t="n">
        <x:v>8</x:v>
      </x:c>
      <x:c r="K24" s="1" t="str">
        <x:v>https://static.cninfo.com.cn/finalpage/2024-03-30/1219463249.PDF</x:v>
      </x:c>
      <x:c r="L24" s="1" t="str">
        <x:v>as_reported</x:v>
      </x:c>
      <x:c r="M24" s="1" t="str">
        <x:v>public_report</x:v>
      </x:c>
      <x:c r="N24" s="3" t="str"/>
    </x:row>
    <x:row r="25" ht="23" customHeight="1">
      <x:c r="A25" s="1" t="str">
        <x:v>2023-Q4</x:v>
      </x:c>
      <x:c r="B25" s="1" t="str">
        <x:v>all</x:v>
      </x:c>
      <x:c r="C25" s="1" t="str">
        <x:v>net_profit_parent</x:v>
      </x:c>
      <x:c r="D25" s="7" t="n">
        <x:v>24384822.2</x:v>
      </x:c>
      <x:c r="E25" s="1" t="str">
        <x:v>quarterly</x:v>
      </x:c>
      <x:c r="F25" s="1" t="str">
        <x:v>002803.SZ</x:v>
      </x:c>
      <x:c r="G25" s="1" t="str">
        <x:v>CNY</x:v>
      </x:c>
      <x:c r="H25" s="1" t="str">
        <x:v>yuan</x:v>
      </x:c>
      <x:c r="I25" s="1" t="n">
        <x:v>2023</x:v>
      </x:c>
      <x:c r="J25" s="1" t="n">
        <x:v>8</x:v>
      </x:c>
      <x:c r="K25" s="1" t="str">
        <x:v>https://static.cninfo.com.cn/finalpage/2024-03-30/1219463249.PDF</x:v>
      </x:c>
      <x:c r="L25" s="1" t="str">
        <x:v>as_reported</x:v>
      </x:c>
      <x:c r="M25" s="1" t="str">
        <x:v>public_report</x:v>
      </x:c>
      <x:c r="N25" s="3" t="str"/>
    </x:row>
    <x:row r="26" ht="23" customHeight="1">
      <x:c r="A26" s="1" t="str">
        <x:v>2023-Q1</x:v>
      </x:c>
      <x:c r="B26" s="1" t="str">
        <x:v>all</x:v>
      </x:c>
      <x:c r="C26" s="1" t="str">
        <x:v>net_profit_parent_excl</x:v>
      </x:c>
      <x:c r="D26" s="7" t="n">
        <x:v>65153712.6</x:v>
      </x:c>
      <x:c r="E26" s="1" t="str">
        <x:v>quarterly</x:v>
      </x:c>
      <x:c r="F26" s="1" t="str">
        <x:v>002803.SZ</x:v>
      </x:c>
      <x:c r="G26" s="1" t="str">
        <x:v>CNY</x:v>
      </x:c>
      <x:c r="H26" s="1" t="str">
        <x:v>yuan</x:v>
      </x:c>
      <x:c r="I26" s="1" t="n">
        <x:v>2023</x:v>
      </x:c>
      <x:c r="J26" s="1" t="n">
        <x:v>8</x:v>
      </x:c>
      <x:c r="K26" s="1" t="str">
        <x:v>https://static.cninfo.com.cn/finalpage/2024-03-30/1219463249.PDF</x:v>
      </x:c>
      <x:c r="L26" s="1" t="str">
        <x:v>as_reported</x:v>
      </x:c>
      <x:c r="M26" s="1" t="str">
        <x:v>public_report</x:v>
      </x:c>
      <x:c r="N26" s="3" t="str"/>
    </x:row>
    <x:row r="27" ht="23" customHeight="1">
      <x:c r="A27" s="1" t="str">
        <x:v>2023-Q2</x:v>
      </x:c>
      <x:c r="B27" s="1" t="str">
        <x:v>all</x:v>
      </x:c>
      <x:c r="C27" s="1" t="str">
        <x:v>net_profit_parent_excl</x:v>
      </x:c>
      <x:c r="D27" s="7" t="n">
        <x:v>111091456.36</x:v>
      </x:c>
      <x:c r="E27" s="1" t="str">
        <x:v>quarterly</x:v>
      </x:c>
      <x:c r="F27" s="1" t="str">
        <x:v>002803.SZ</x:v>
      </x:c>
      <x:c r="G27" s="1" t="str">
        <x:v>CNY</x:v>
      </x:c>
      <x:c r="H27" s="1" t="str">
        <x:v>yuan</x:v>
      </x:c>
      <x:c r="I27" s="1" t="n">
        <x:v>2023</x:v>
      </x:c>
      <x:c r="J27" s="1" t="n">
        <x:v>8</x:v>
      </x:c>
      <x:c r="K27" s="1" t="str">
        <x:v>https://static.cninfo.com.cn/finalpage/2024-03-30/1219463249.PDF</x:v>
      </x:c>
      <x:c r="L27" s="1" t="str">
        <x:v>as_reported</x:v>
      </x:c>
      <x:c r="M27" s="1" t="str">
        <x:v>public_report</x:v>
      </x:c>
      <x:c r="N27" s="3" t="str"/>
    </x:row>
    <x:row r="28" ht="23" customHeight="1">
      <x:c r="A28" s="1" t="str">
        <x:v>2023-Q3</x:v>
      </x:c>
      <x:c r="B28" s="1" t="str">
        <x:v>all</x:v>
      </x:c>
      <x:c r="C28" s="1" t="str">
        <x:v>net_profit_parent_excl</x:v>
      </x:c>
      <x:c r="D28" s="7" t="n">
        <x:v>123964325.73</x:v>
      </x:c>
      <x:c r="E28" s="1" t="str">
        <x:v>quarterly</x:v>
      </x:c>
      <x:c r="F28" s="1" t="str">
        <x:v>002803.SZ</x:v>
      </x:c>
      <x:c r="G28" s="1" t="str">
        <x:v>CNY</x:v>
      </x:c>
      <x:c r="H28" s="1" t="str">
        <x:v>yuan</x:v>
      </x:c>
      <x:c r="I28" s="1" t="n">
        <x:v>2023</x:v>
      </x:c>
      <x:c r="J28" s="1" t="n">
        <x:v>8</x:v>
      </x:c>
      <x:c r="K28" s="1" t="str">
        <x:v>https://static.cninfo.com.cn/finalpage/2024-03-30/1219463249.PDF</x:v>
      </x:c>
      <x:c r="L28" s="1" t="str">
        <x:v>as_reported</x:v>
      </x:c>
      <x:c r="M28" s="1" t="str">
        <x:v>public_report</x:v>
      </x:c>
      <x:c r="N28" s="3" t="str"/>
    </x:row>
    <x:row r="29" ht="23" customHeight="1">
      <x:c r="A29" s="1" t="str">
        <x:v>2023-Q4</x:v>
      </x:c>
      <x:c r="B29" s="1" t="str">
        <x:v>all</x:v>
      </x:c>
      <x:c r="C29" s="1" t="str">
        <x:v>net_profit_parent_excl</x:v>
      </x:c>
      <x:c r="D29" s="7" t="n">
        <x:v>25079083.45</x:v>
      </x:c>
      <x:c r="E29" s="1" t="str">
        <x:v>quarterly</x:v>
      </x:c>
      <x:c r="F29" s="1" t="str">
        <x:v>002803.SZ</x:v>
      </x:c>
      <x:c r="G29" s="1" t="str">
        <x:v>CNY</x:v>
      </x:c>
      <x:c r="H29" s="1" t="str">
        <x:v>yuan</x:v>
      </x:c>
      <x:c r="I29" s="1" t="n">
        <x:v>2023</x:v>
      </x:c>
      <x:c r="J29" s="1" t="n">
        <x:v>8</x:v>
      </x:c>
      <x:c r="K29" s="1" t="str">
        <x:v>https://static.cninfo.com.cn/finalpage/2024-03-30/1219463249.PDF</x:v>
      </x:c>
      <x:c r="L29" s="1" t="str">
        <x:v>as_reported</x:v>
      </x:c>
      <x:c r="M29" s="1" t="str">
        <x:v>public_report</x:v>
      </x:c>
      <x:c r="N29" s="3" t="str"/>
    </x:row>
    <x:row r="30" ht="23" customHeight="1">
      <x:c r="A30" s="1" t="str">
        <x:v>2023-Q1</x:v>
      </x:c>
      <x:c r="B30" s="1" t="str">
        <x:v>all</x:v>
      </x:c>
      <x:c r="C30" s="1" t="str">
        <x:v>operating_cash_flow</x:v>
      </x:c>
      <x:c r="D30" s="7" t="n">
        <x:v>31569774.96</x:v>
      </x:c>
      <x:c r="E30" s="1" t="str">
        <x:v>quarterly</x:v>
      </x:c>
      <x:c r="F30" s="1" t="str">
        <x:v>002803.SZ</x:v>
      </x:c>
      <x:c r="G30" s="1" t="str">
        <x:v>CNY</x:v>
      </x:c>
      <x:c r="H30" s="1" t="str">
        <x:v>yuan</x:v>
      </x:c>
      <x:c r="I30" s="1" t="n">
        <x:v>2023</x:v>
      </x:c>
      <x:c r="J30" s="1" t="n">
        <x:v>8</x:v>
      </x:c>
      <x:c r="K30" s="1" t="str">
        <x:v>https://static.cninfo.com.cn/finalpage/2024-03-30/1219463249.PDF</x:v>
      </x:c>
      <x:c r="L30" s="1" t="str">
        <x:v>as_reported</x:v>
      </x:c>
      <x:c r="M30" s="1" t="str">
        <x:v>public_report</x:v>
      </x:c>
      <x:c r="N30" s="3" t="str"/>
    </x:row>
    <x:row r="31" ht="23" customHeight="1">
      <x:c r="A31" s="1" t="str">
        <x:v>2023-Q2</x:v>
      </x:c>
      <x:c r="B31" s="1" t="str">
        <x:v>all</x:v>
      </x:c>
      <x:c r="C31" s="1" t="str">
        <x:v>operating_cash_flow</x:v>
      </x:c>
      <x:c r="D31" s="7" t="n">
        <x:v>236907148.49</x:v>
      </x:c>
      <x:c r="E31" s="1" t="str">
        <x:v>quarterly</x:v>
      </x:c>
      <x:c r="F31" s="1" t="str">
        <x:v>002803.SZ</x:v>
      </x:c>
      <x:c r="G31" s="1" t="str">
        <x:v>CNY</x:v>
      </x:c>
      <x:c r="H31" s="1" t="str">
        <x:v>yuan</x:v>
      </x:c>
      <x:c r="I31" s="1" t="n">
        <x:v>2023</x:v>
      </x:c>
      <x:c r="J31" s="1" t="n">
        <x:v>8</x:v>
      </x:c>
      <x:c r="K31" s="1" t="str">
        <x:v>https://static.cninfo.com.cn/finalpage/2024-03-30/1219463249.PDF</x:v>
      </x:c>
      <x:c r="L31" s="1" t="str">
        <x:v>as_reported</x:v>
      </x:c>
      <x:c r="M31" s="1" t="str">
        <x:v>public_report</x:v>
      </x:c>
      <x:c r="N31" s="3" t="str"/>
    </x:row>
    <x:row r="32" ht="23" customHeight="1">
      <x:c r="A32" s="1" t="str">
        <x:v>2023-Q3</x:v>
      </x:c>
      <x:c r="B32" s="1" t="str">
        <x:v>all</x:v>
      </x:c>
      <x:c r="C32" s="1" t="str">
        <x:v>operating_cash_flow</x:v>
      </x:c>
      <x:c r="D32" s="7" t="n">
        <x:v>-5229581.71</x:v>
      </x:c>
      <x:c r="E32" s="1" t="str">
        <x:v>quarterly</x:v>
      </x:c>
      <x:c r="F32" s="1" t="str">
        <x:v>002803.SZ</x:v>
      </x:c>
      <x:c r="G32" s="1" t="str">
        <x:v>CNY</x:v>
      </x:c>
      <x:c r="H32" s="1" t="str">
        <x:v>yuan</x:v>
      </x:c>
      <x:c r="I32" s="1" t="n">
        <x:v>2023</x:v>
      </x:c>
      <x:c r="J32" s="1" t="n">
        <x:v>8</x:v>
      </x:c>
      <x:c r="K32" s="1" t="str">
        <x:v>https://static.cninfo.com.cn/finalpage/2024-03-30/1219463249.PDF</x:v>
      </x:c>
      <x:c r="L32" s="1" t="str">
        <x:v>as_reported</x:v>
      </x:c>
      <x:c r="M32" s="1" t="str">
        <x:v>public_report</x:v>
      </x:c>
      <x:c r="N32" s="3" t="str"/>
    </x:row>
    <x:row r="33" ht="23" customHeight="1">
      <x:c r="A33" s="1" t="str">
        <x:v>2023-Q4</x:v>
      </x:c>
      <x:c r="B33" s="1" t="str">
        <x:v>all</x:v>
      </x:c>
      <x:c r="C33" s="1" t="str">
        <x:v>operating_cash_flow</x:v>
      </x:c>
      <x:c r="D33" s="7" t="n">
        <x:v>462352414.85</x:v>
      </x:c>
      <x:c r="E33" s="1" t="str">
        <x:v>quarterly</x:v>
      </x:c>
      <x:c r="F33" s="1" t="str">
        <x:v>002803.SZ</x:v>
      </x:c>
      <x:c r="G33" s="1" t="str">
        <x:v>CNY</x:v>
      </x:c>
      <x:c r="H33" s="1" t="str">
        <x:v>yuan</x:v>
      </x:c>
      <x:c r="I33" s="1" t="n">
        <x:v>2023</x:v>
      </x:c>
      <x:c r="J33" s="1" t="n">
        <x:v>8</x:v>
      </x:c>
      <x:c r="K33" s="1" t="str">
        <x:v>https://static.cninfo.com.cn/finalpage/2024-03-30/1219463249.PDF</x:v>
      </x:c>
      <x:c r="L33" s="1" t="str">
        <x:v>as_reported</x:v>
      </x:c>
      <x:c r="M33" s="1" t="str">
        <x:v>public_report</x:v>
      </x:c>
      <x:c r="N33" s="3" t="str"/>
    </x:row>
    <x:row r="34" ht="23" customHeight="1">
      <x:c r="A34" s="1" t="str">
        <x:v>2024-Q1</x:v>
      </x:c>
      <x:c r="B34" s="1" t="str">
        <x:v>all</x:v>
      </x:c>
      <x:c r="C34" s="1" t="str">
        <x:v>revenue</x:v>
      </x:c>
      <x:c r="D34" s="7" t="n">
        <x:v>1324458336.45</x:v>
      </x:c>
      <x:c r="E34" s="1" t="str">
        <x:v>quarterly</x:v>
      </x:c>
      <x:c r="F34" s="1" t="str">
        <x:v>002803.SZ</x:v>
      </x:c>
      <x:c r="G34" s="1" t="str">
        <x:v>CNY</x:v>
      </x:c>
      <x:c r="H34" s="1" t="str">
        <x:v>yuan</x:v>
      </x:c>
      <x:c r="I34" s="1" t="n">
        <x:v>2024</x:v>
      </x:c>
      <x:c r="J34" s="1" t="n">
        <x:v>8</x:v>
      </x:c>
      <x:c r="K34" s="1" t="str">
        <x:v>https://static.cninfo.com.cn/finalpage/2025-04-02/1222983627.PDF</x:v>
      </x:c>
      <x:c r="L34" s="1" t="str">
        <x:v>as_reported</x:v>
      </x:c>
      <x:c r="M34" s="1" t="str">
        <x:v>public_report</x:v>
      </x:c>
      <x:c r="N34" s="3" t="str"/>
    </x:row>
    <x:row r="35" ht="23" customHeight="1">
      <x:c r="A35" s="1" t="str">
        <x:v>2024-Q2</x:v>
      </x:c>
      <x:c r="B35" s="1" t="str">
        <x:v>all</x:v>
      </x:c>
      <x:c r="C35" s="1" t="str">
        <x:v>revenue</x:v>
      </x:c>
      <x:c r="D35" s="7" t="n">
        <x:v>1129005196.44</x:v>
      </x:c>
      <x:c r="E35" s="1" t="str">
        <x:v>quarterly</x:v>
      </x:c>
      <x:c r="F35" s="1" t="str">
        <x:v>002803.SZ</x:v>
      </x:c>
      <x:c r="G35" s="1" t="str">
        <x:v>CNY</x:v>
      </x:c>
      <x:c r="H35" s="1" t="str">
        <x:v>yuan</x:v>
      </x:c>
      <x:c r="I35" s="1" t="n">
        <x:v>2024</x:v>
      </x:c>
      <x:c r="J35" s="1" t="n">
        <x:v>8</x:v>
      </x:c>
      <x:c r="K35" s="1" t="str">
        <x:v>https://static.cninfo.com.cn/finalpage/2025-04-02/1222983627.PDF</x:v>
      </x:c>
      <x:c r="L35" s="1" t="str">
        <x:v>as_reported</x:v>
      </x:c>
      <x:c r="M35" s="1" t="str">
        <x:v>public_report</x:v>
      </x:c>
      <x:c r="N35" s="3" t="str"/>
    </x:row>
    <x:row r="36" ht="23" customHeight="1">
      <x:c r="A36" s="1" t="str">
        <x:v>2024-Q3</x:v>
      </x:c>
      <x:c r="B36" s="1" t="str">
        <x:v>all</x:v>
      </x:c>
      <x:c r="C36" s="1" t="str">
        <x:v>revenue</x:v>
      </x:c>
      <x:c r="D36" s="7" t="n">
        <x:v>1443623845.9</x:v>
      </x:c>
      <x:c r="E36" s="1" t="str">
        <x:v>quarterly</x:v>
      </x:c>
      <x:c r="F36" s="1" t="str">
        <x:v>002803.SZ</x:v>
      </x:c>
      <x:c r="G36" s="1" t="str">
        <x:v>CNY</x:v>
      </x:c>
      <x:c r="H36" s="1" t="str">
        <x:v>yuan</x:v>
      </x:c>
      <x:c r="I36" s="1" t="n">
        <x:v>2024</x:v>
      </x:c>
      <x:c r="J36" s="1" t="n">
        <x:v>8</x:v>
      </x:c>
      <x:c r="K36" s="1" t="str">
        <x:v>https://static.cninfo.com.cn/finalpage/2025-04-02/1222983627.PDF</x:v>
      </x:c>
      <x:c r="L36" s="1" t="str">
        <x:v>as_reported</x:v>
      </x:c>
      <x:c r="M36" s="1" t="str">
        <x:v>public_report</x:v>
      </x:c>
      <x:c r="N36" s="3" t="str"/>
    </x:row>
    <x:row r="37" ht="23" customHeight="1">
      <x:c r="A37" s="1" t="str">
        <x:v>2024-Q4</x:v>
      </x:c>
      <x:c r="B37" s="1" t="str">
        <x:v>all</x:v>
      </x:c>
      <x:c r="C37" s="1" t="str">
        <x:v>revenue</x:v>
      </x:c>
      <x:c r="D37" s="7" t="n">
        <x:v>1632171193.76</x:v>
      </x:c>
      <x:c r="E37" s="1" t="str">
        <x:v>quarterly</x:v>
      </x:c>
      <x:c r="F37" s="1" t="str">
        <x:v>002803.SZ</x:v>
      </x:c>
      <x:c r="G37" s="1" t="str">
        <x:v>CNY</x:v>
      </x:c>
      <x:c r="H37" s="1" t="str">
        <x:v>yuan</x:v>
      </x:c>
      <x:c r="I37" s="1" t="n">
        <x:v>2024</x:v>
      </x:c>
      <x:c r="J37" s="1" t="n">
        <x:v>8</x:v>
      </x:c>
      <x:c r="K37" s="1" t="str">
        <x:v>https://static.cninfo.com.cn/finalpage/2025-04-02/1222983627.PDF</x:v>
      </x:c>
      <x:c r="L37" s="1" t="str">
        <x:v>as_reported</x:v>
      </x:c>
      <x:c r="M37" s="1" t="str">
        <x:v>public_report</x:v>
      </x:c>
      <x:c r="N37" s="3" t="str"/>
    </x:row>
    <x:row r="38" ht="23" customHeight="1">
      <x:c r="A38" s="1" t="str">
        <x:v>2024-Q1</x:v>
      </x:c>
      <x:c r="B38" s="1" t="str">
        <x:v>all</x:v>
      </x:c>
      <x:c r="C38" s="1" t="str">
        <x:v>net_profit_parent</x:v>
      </x:c>
      <x:c r="D38" s="7" t="n">
        <x:v>42805333.83</x:v>
      </x:c>
      <x:c r="E38" s="1" t="str">
        <x:v>quarterly</x:v>
      </x:c>
      <x:c r="F38" s="1" t="str">
        <x:v>002803.SZ</x:v>
      </x:c>
      <x:c r="G38" s="1" t="str">
        <x:v>CNY</x:v>
      </x:c>
      <x:c r="H38" s="1" t="str">
        <x:v>yuan</x:v>
      </x:c>
      <x:c r="I38" s="1" t="n">
        <x:v>2024</x:v>
      </x:c>
      <x:c r="J38" s="1" t="n">
        <x:v>8</x:v>
      </x:c>
      <x:c r="K38" s="1" t="str">
        <x:v>https://static.cninfo.com.cn/finalpage/2025-04-02/1222983627.PDF</x:v>
      </x:c>
      <x:c r="L38" s="1" t="str">
        <x:v>as_reported</x:v>
      </x:c>
      <x:c r="M38" s="1" t="str">
        <x:v>public_report</x:v>
      </x:c>
      <x:c r="N38" s="3" t="str"/>
    </x:row>
    <x:row r="39" ht="23" customHeight="1">
      <x:c r="A39" s="1" t="str">
        <x:v>2024-Q2</x:v>
      </x:c>
      <x:c r="B39" s="1" t="str">
        <x:v>all</x:v>
      </x:c>
      <x:c r="C39" s="1" t="str">
        <x:v>net_profit_parent</x:v>
      </x:c>
      <x:c r="D39" s="7" t="n">
        <x:v>29557706.32</x:v>
      </x:c>
      <x:c r="E39" s="1" t="str">
        <x:v>quarterly</x:v>
      </x:c>
      <x:c r="F39" s="1" t="str">
        <x:v>002803.SZ</x:v>
      </x:c>
      <x:c r="G39" s="1" t="str">
        <x:v>CNY</x:v>
      </x:c>
      <x:c r="H39" s="1" t="str">
        <x:v>yuan</x:v>
      </x:c>
      <x:c r="I39" s="1" t="n">
        <x:v>2024</x:v>
      </x:c>
      <x:c r="J39" s="1" t="n">
        <x:v>8</x:v>
      </x:c>
      <x:c r="K39" s="1" t="str">
        <x:v>https://static.cninfo.com.cn/finalpage/2025-04-02/1222983627.PDF</x:v>
      </x:c>
      <x:c r="L39" s="1" t="str">
        <x:v>as_reported</x:v>
      </x:c>
      <x:c r="M39" s="1" t="str">
        <x:v>public_report</x:v>
      </x:c>
      <x:c r="N39" s="3" t="str"/>
    </x:row>
    <x:row r="40" ht="23" customHeight="1">
      <x:c r="A40" s="1" t="str">
        <x:v>2024-Q3</x:v>
      </x:c>
      <x:c r="B40" s="1" t="str">
        <x:v>all</x:v>
      </x:c>
      <x:c r="C40" s="1" t="str">
        <x:v>net_profit_parent</x:v>
      </x:c>
      <x:c r="D40" s="7" t="n">
        <x:v>62310258.58</x:v>
      </x:c>
      <x:c r="E40" s="1" t="str">
        <x:v>quarterly</x:v>
      </x:c>
      <x:c r="F40" s="1" t="str">
        <x:v>002803.SZ</x:v>
      </x:c>
      <x:c r="G40" s="1" t="str">
        <x:v>CNY</x:v>
      </x:c>
      <x:c r="H40" s="1" t="str">
        <x:v>yuan</x:v>
      </x:c>
      <x:c r="I40" s="1" t="n">
        <x:v>2024</x:v>
      </x:c>
      <x:c r="J40" s="1" t="n">
        <x:v>8</x:v>
      </x:c>
      <x:c r="K40" s="1" t="str">
        <x:v>https://static.cninfo.com.cn/finalpage/2025-04-02/1222983627.PDF</x:v>
      </x:c>
      <x:c r="L40" s="1" t="str">
        <x:v>as_reported</x:v>
      </x:c>
      <x:c r="M40" s="1" t="str">
        <x:v>public_report</x:v>
      </x:c>
      <x:c r="N40" s="3" t="str"/>
    </x:row>
    <x:row r="41" ht="23" customHeight="1">
      <x:c r="A41" s="1" t="str">
        <x:v>2024-Q4</x:v>
      </x:c>
      <x:c r="B41" s="1" t="str">
        <x:v>all</x:v>
      </x:c>
      <x:c r="C41" s="1" t="str">
        <x:v>net_profit_parent</x:v>
      </x:c>
      <x:c r="D41" s="7" t="n">
        <x:v>47257825.84</x:v>
      </x:c>
      <x:c r="E41" s="1" t="str">
        <x:v>quarterly</x:v>
      </x:c>
      <x:c r="F41" s="1" t="str">
        <x:v>002803.SZ</x:v>
      </x:c>
      <x:c r="G41" s="1" t="str">
        <x:v>CNY</x:v>
      </x:c>
      <x:c r="H41" s="1" t="str">
        <x:v>yuan</x:v>
      </x:c>
      <x:c r="I41" s="1" t="n">
        <x:v>2024</x:v>
      </x:c>
      <x:c r="J41" s="1" t="n">
        <x:v>8</x:v>
      </x:c>
      <x:c r="K41" s="1" t="str">
        <x:v>https://static.cninfo.com.cn/finalpage/2025-04-02/1222983627.PDF</x:v>
      </x:c>
      <x:c r="L41" s="1" t="str">
        <x:v>as_reported</x:v>
      </x:c>
      <x:c r="M41" s="1" t="str">
        <x:v>public_report</x:v>
      </x:c>
      <x:c r="N41" s="3" t="str"/>
    </x:row>
    <x:row r="42" ht="23" customHeight="1">
      <x:c r="A42" s="1" t="str">
        <x:v>2024-Q1</x:v>
      </x:c>
      <x:c r="B42" s="1" t="str">
        <x:v>all</x:v>
      </x:c>
      <x:c r="C42" s="1" t="str">
        <x:v>net_profit_parent_excl</x:v>
      </x:c>
      <x:c r="D42" s="7" t="n">
        <x:v>38250949.78</x:v>
      </x:c>
      <x:c r="E42" s="1" t="str">
        <x:v>quarterly</x:v>
      </x:c>
      <x:c r="F42" s="1" t="str">
        <x:v>002803.SZ</x:v>
      </x:c>
      <x:c r="G42" s="1" t="str">
        <x:v>CNY</x:v>
      </x:c>
      <x:c r="H42" s="1" t="str">
        <x:v>yuan</x:v>
      </x:c>
      <x:c r="I42" s="1" t="n">
        <x:v>2024</x:v>
      </x:c>
      <x:c r="J42" s="1" t="n">
        <x:v>8</x:v>
      </x:c>
      <x:c r="K42" s="1" t="str">
        <x:v>https://static.cninfo.com.cn/finalpage/2025-04-02/1222983627.PDF</x:v>
      </x:c>
      <x:c r="L42" s="1" t="str">
        <x:v>as_reported</x:v>
      </x:c>
      <x:c r="M42" s="1" t="str">
        <x:v>public_report</x:v>
      </x:c>
      <x:c r="N42" s="3" t="str"/>
    </x:row>
    <x:row r="43" ht="23" customHeight="1">
      <x:c r="A43" s="1" t="str">
        <x:v>2024-Q2</x:v>
      </x:c>
      <x:c r="B43" s="1" t="str">
        <x:v>all</x:v>
      </x:c>
      <x:c r="C43" s="1" t="str">
        <x:v>net_profit_parent_excl</x:v>
      </x:c>
      <x:c r="D43" s="7" t="n">
        <x:v>24880649.42</x:v>
      </x:c>
      <x:c r="E43" s="1" t="str">
        <x:v>quarterly</x:v>
      </x:c>
      <x:c r="F43" s="1" t="str">
        <x:v>002803.SZ</x:v>
      </x:c>
      <x:c r="G43" s="1" t="str">
        <x:v>CNY</x:v>
      </x:c>
      <x:c r="H43" s="1" t="str">
        <x:v>yuan</x:v>
      </x:c>
      <x:c r="I43" s="1" t="n">
        <x:v>2024</x:v>
      </x:c>
      <x:c r="J43" s="1" t="n">
        <x:v>8</x:v>
      </x:c>
      <x:c r="K43" s="1" t="str">
        <x:v>https://static.cninfo.com.cn/finalpage/2025-04-02/1222983627.PDF</x:v>
      </x:c>
      <x:c r="L43" s="1" t="str">
        <x:v>as_reported</x:v>
      </x:c>
      <x:c r="M43" s="1" t="str">
        <x:v>public_report</x:v>
      </x:c>
      <x:c r="N43" s="3" t="str"/>
    </x:row>
    <x:row r="44" ht="23" customHeight="1">
      <x:c r="A44" s="1" t="str">
        <x:v>2024-Q3</x:v>
      </x:c>
      <x:c r="B44" s="1" t="str">
        <x:v>all</x:v>
      </x:c>
      <x:c r="C44" s="1" t="str">
        <x:v>net_profit_parent_excl</x:v>
      </x:c>
      <x:c r="D44" s="7" t="n">
        <x:v>57703092.68</x:v>
      </x:c>
      <x:c r="E44" s="1" t="str">
        <x:v>quarterly</x:v>
      </x:c>
      <x:c r="F44" s="1" t="str">
        <x:v>002803.SZ</x:v>
      </x:c>
      <x:c r="G44" s="1" t="str">
        <x:v>CNY</x:v>
      </x:c>
      <x:c r="H44" s="1" t="str">
        <x:v>yuan</x:v>
      </x:c>
      <x:c r="I44" s="1" t="n">
        <x:v>2024</x:v>
      </x:c>
      <x:c r="J44" s="1" t="n">
        <x:v>8</x:v>
      </x:c>
      <x:c r="K44" s="1" t="str">
        <x:v>https://static.cninfo.com.cn/finalpage/2025-04-02/1222983627.PDF</x:v>
      </x:c>
      <x:c r="L44" s="1" t="str">
        <x:v>as_reported</x:v>
      </x:c>
      <x:c r="M44" s="1" t="str">
        <x:v>public_report</x:v>
      </x:c>
      <x:c r="N44" s="3" t="str"/>
    </x:row>
    <x:row r="45" ht="23" customHeight="1">
      <x:c r="A45" s="1" t="str">
        <x:v>2024-Q4</x:v>
      </x:c>
      <x:c r="B45" s="1" t="str">
        <x:v>all</x:v>
      </x:c>
      <x:c r="C45" s="1" t="str">
        <x:v>net_profit_parent_excl</x:v>
      </x:c>
      <x:c r="D45" s="7" t="n">
        <x:v>39118065.85</x:v>
      </x:c>
      <x:c r="E45" s="1" t="str">
        <x:v>quarterly</x:v>
      </x:c>
      <x:c r="F45" s="1" t="str">
        <x:v>002803.SZ</x:v>
      </x:c>
      <x:c r="G45" s="1" t="str">
        <x:v>CNY</x:v>
      </x:c>
      <x:c r="H45" s="1" t="str">
        <x:v>yuan</x:v>
      </x:c>
      <x:c r="I45" s="1" t="n">
        <x:v>2024</x:v>
      </x:c>
      <x:c r="J45" s="1" t="n">
        <x:v>8</x:v>
      </x:c>
      <x:c r="K45" s="1" t="str">
        <x:v>https://static.cninfo.com.cn/finalpage/2025-04-02/1222983627.PDF</x:v>
      </x:c>
      <x:c r="L45" s="1" t="str">
        <x:v>as_reported</x:v>
      </x:c>
      <x:c r="M45" s="1" t="str">
        <x:v>public_report</x:v>
      </x:c>
      <x:c r="N45" s="3" t="str"/>
    </x:row>
    <x:row r="46" ht="23" customHeight="1">
      <x:c r="A46" s="1" t="str">
        <x:v>2024-Q1</x:v>
      </x:c>
      <x:c r="B46" s="1" t="str">
        <x:v>all</x:v>
      </x:c>
      <x:c r="C46" s="1" t="str">
        <x:v>operating_cash_flow</x:v>
      </x:c>
      <x:c r="D46" s="7" t="n">
        <x:v>-157714828.08</x:v>
      </x:c>
      <x:c r="E46" s="1" t="str">
        <x:v>quarterly</x:v>
      </x:c>
      <x:c r="F46" s="1" t="str">
        <x:v>002803.SZ</x:v>
      </x:c>
      <x:c r="G46" s="1" t="str">
        <x:v>CNY</x:v>
      </x:c>
      <x:c r="H46" s="1" t="str">
        <x:v>yuan</x:v>
      </x:c>
      <x:c r="I46" s="1" t="n">
        <x:v>2024</x:v>
      </x:c>
      <x:c r="J46" s="1" t="n">
        <x:v>8</x:v>
      </x:c>
      <x:c r="K46" s="1" t="str">
        <x:v>https://static.cninfo.com.cn/finalpage/2025-04-02/1222983627.PDF</x:v>
      </x:c>
      <x:c r="L46" s="1" t="str">
        <x:v>as_reported</x:v>
      </x:c>
      <x:c r="M46" s="1" t="str">
        <x:v>public_report</x:v>
      </x:c>
      <x:c r="N46" s="3" t="str"/>
    </x:row>
    <x:row r="47" ht="23" customHeight="1">
      <x:c r="A47" s="1" t="str">
        <x:v>2024-Q2</x:v>
      </x:c>
      <x:c r="B47" s="1" t="str">
        <x:v>all</x:v>
      </x:c>
      <x:c r="C47" s="1" t="str">
        <x:v>operating_cash_flow</x:v>
      </x:c>
      <x:c r="D47" s="7" t="n">
        <x:v>195939885.54</x:v>
      </x:c>
      <x:c r="E47" s="1" t="str">
        <x:v>quarterly</x:v>
      </x:c>
      <x:c r="F47" s="1" t="str">
        <x:v>002803.SZ</x:v>
      </x:c>
      <x:c r="G47" s="1" t="str">
        <x:v>CNY</x:v>
      </x:c>
      <x:c r="H47" s="1" t="str">
        <x:v>yuan</x:v>
      </x:c>
      <x:c r="I47" s="1" t="n">
        <x:v>2024</x:v>
      </x:c>
      <x:c r="J47" s="1" t="n">
        <x:v>8</x:v>
      </x:c>
      <x:c r="K47" s="1" t="str">
        <x:v>https://static.cninfo.com.cn/finalpage/2025-04-02/1222983627.PDF</x:v>
      </x:c>
      <x:c r="L47" s="1" t="str">
        <x:v>as_reported</x:v>
      </x:c>
      <x:c r="M47" s="1" t="str">
        <x:v>public_report</x:v>
      </x:c>
      <x:c r="N47" s="3" t="str"/>
    </x:row>
    <x:row r="48" ht="23" customHeight="1">
      <x:c r="A48" s="1" t="str">
        <x:v>2024-Q3</x:v>
      </x:c>
      <x:c r="B48" s="1" t="str">
        <x:v>all</x:v>
      </x:c>
      <x:c r="C48" s="1" t="str">
        <x:v>operating_cash_flow</x:v>
      </x:c>
      <x:c r="D48" s="7" t="n">
        <x:v>127384378.61</x:v>
      </x:c>
      <x:c r="E48" s="1" t="str">
        <x:v>quarterly</x:v>
      </x:c>
      <x:c r="F48" s="1" t="str">
        <x:v>002803.SZ</x:v>
      </x:c>
      <x:c r="G48" s="1" t="str">
        <x:v>CNY</x:v>
      </x:c>
      <x:c r="H48" s="1" t="str">
        <x:v>yuan</x:v>
      </x:c>
      <x:c r="I48" s="1" t="n">
        <x:v>2024</x:v>
      </x:c>
      <x:c r="J48" s="1" t="n">
        <x:v>8</x:v>
      </x:c>
      <x:c r="K48" s="1" t="str">
        <x:v>https://static.cninfo.com.cn/finalpage/2025-04-02/1222983627.PDF</x:v>
      </x:c>
      <x:c r="L48" s="1" t="str">
        <x:v>as_reported</x:v>
      </x:c>
      <x:c r="M48" s="1" t="str">
        <x:v>public_report</x:v>
      </x:c>
      <x:c r="N48" s="3" t="str"/>
    </x:row>
    <x:row r="49" ht="23" customHeight="1">
      <x:c r="A49" s="1" t="str">
        <x:v>2024-Q4</x:v>
      </x:c>
      <x:c r="B49" s="1" t="str">
        <x:v>all</x:v>
      </x:c>
      <x:c r="C49" s="1" t="str">
        <x:v>operating_cash_flow</x:v>
      </x:c>
      <x:c r="D49" s="7" t="n">
        <x:v>221070167.99</x:v>
      </x:c>
      <x:c r="E49" s="1" t="str">
        <x:v>quarterly</x:v>
      </x:c>
      <x:c r="F49" s="1" t="str">
        <x:v>002803.SZ</x:v>
      </x:c>
      <x:c r="G49" s="1" t="str">
        <x:v>CNY</x:v>
      </x:c>
      <x:c r="H49" s="1" t="str">
        <x:v>yuan</x:v>
      </x:c>
      <x:c r="I49" s="1" t="n">
        <x:v>2024</x:v>
      </x:c>
      <x:c r="J49" s="1" t="n">
        <x:v>8</x:v>
      </x:c>
      <x:c r="K49" s="1" t="str">
        <x:v>https://static.cninfo.com.cn/finalpage/2025-04-02/1222983627.PDF</x:v>
      </x:c>
      <x:c r="L49" s="1" t="str">
        <x:v>as_reported</x:v>
      </x:c>
      <x:c r="M49" s="1" t="str">
        <x:v>public_report</x:v>
      </x:c>
      <x:c r="N49" s="3" t="str"/>
    </x:row>
    <x:row r="50" ht="23" customHeight="1">
      <x:c r="A50" s="1" t="str">
        <x:v>2025-Q1</x:v>
      </x:c>
      <x:c r="B50" s="1" t="str">
        <x:v>all</x:v>
      </x:c>
      <x:c r="C50" s="1" t="str">
        <x:v>revenue</x:v>
      </x:c>
      <x:c r="D50" s="7" t="n">
        <x:v>1477490718.88</x:v>
      </x:c>
      <x:c r="E50" s="1" t="str">
        <x:v>quarterly</x:v>
      </x:c>
      <x:c r="F50" s="1" t="str">
        <x:v>002803.SZ</x:v>
      </x:c>
      <x:c r="G50" s="1" t="str">
        <x:v>CNY</x:v>
      </x:c>
      <x:c r="H50" s="1" t="str">
        <x:v>yuan</x:v>
      </x:c>
      <x:c r="I50" s="1" t="n">
        <x:v>2025</x:v>
      </x:c>
      <x:c r="J50" s="1" t="n">
        <x:v>8</x:v>
      </x:c>
      <x:c r="K50" s="1" t="str">
        <x:v>https://static.cninfo.com.cn/finalpage/2026-04-01/1225066431.PDF</x:v>
      </x:c>
      <x:c r="L50" s="1" t="str">
        <x:v>as_reported</x:v>
      </x:c>
      <x:c r="M50" s="1" t="str">
        <x:v>public_report</x:v>
      </x:c>
      <x:c r="N50" s="3" t="str"/>
    </x:row>
    <x:row r="51" ht="23" customHeight="1">
      <x:c r="A51" s="1" t="str">
        <x:v>2025-Q2</x:v>
      </x:c>
      <x:c r="B51" s="1" t="str">
        <x:v>all</x:v>
      </x:c>
      <x:c r="C51" s="1" t="str">
        <x:v>revenue</x:v>
      </x:c>
      <x:c r="D51" s="7" t="n">
        <x:v>1756035678.65</x:v>
      </x:c>
      <x:c r="E51" s="1" t="str">
        <x:v>quarterly</x:v>
      </x:c>
      <x:c r="F51" s="1" t="str">
        <x:v>002803.SZ</x:v>
      </x:c>
      <x:c r="G51" s="1" t="str">
        <x:v>CNY</x:v>
      </x:c>
      <x:c r="H51" s="1" t="str">
        <x:v>yuan</x:v>
      </x:c>
      <x:c r="I51" s="1" t="n">
        <x:v>2025</x:v>
      </x:c>
      <x:c r="J51" s="1" t="n">
        <x:v>8</x:v>
      </x:c>
      <x:c r="K51" s="1" t="str">
        <x:v>https://static.cninfo.com.cn/finalpage/2026-04-01/1225066431.PDF</x:v>
      </x:c>
      <x:c r="L51" s="1" t="str">
        <x:v>as_reported</x:v>
      </x:c>
      <x:c r="M51" s="1" t="str">
        <x:v>public_report</x:v>
      </x:c>
      <x:c r="N51" s="3" t="str"/>
    </x:row>
    <x:row r="52" ht="23" customHeight="1">
      <x:c r="A52" s="1" t="str">
        <x:v>2025-Q3</x:v>
      </x:c>
      <x:c r="B52" s="1" t="str">
        <x:v>all</x:v>
      </x:c>
      <x:c r="C52" s="1" t="str">
        <x:v>revenue</x:v>
      </x:c>
      <x:c r="D52" s="7" t="n">
        <x:v>1805091473.5</x:v>
      </x:c>
      <x:c r="E52" s="1" t="str">
        <x:v>quarterly</x:v>
      </x:c>
      <x:c r="F52" s="1" t="str">
        <x:v>002803.SZ</x:v>
      </x:c>
      <x:c r="G52" s="1" t="str">
        <x:v>CNY</x:v>
      </x:c>
      <x:c r="H52" s="1" t="str">
        <x:v>yuan</x:v>
      </x:c>
      <x:c r="I52" s="1" t="n">
        <x:v>2025</x:v>
      </x:c>
      <x:c r="J52" s="1" t="n">
        <x:v>8</x:v>
      </x:c>
      <x:c r="K52" s="1" t="str">
        <x:v>https://static.cninfo.com.cn/finalpage/2026-04-01/1225066431.PDF</x:v>
      </x:c>
      <x:c r="L52" s="1" t="str">
        <x:v>as_reported</x:v>
      </x:c>
      <x:c r="M52" s="1" t="str">
        <x:v>public_report</x:v>
      </x:c>
      <x:c r="N52" s="3" t="str"/>
    </x:row>
    <x:row r="53" ht="23" customHeight="1">
      <x:c r="A53" s="1" t="str">
        <x:v>2025-Q4</x:v>
      </x:c>
      <x:c r="B53" s="1" t="str">
        <x:v>all</x:v>
      </x:c>
      <x:c r="C53" s="1" t="str">
        <x:v>revenue</x:v>
      </x:c>
      <x:c r="D53" s="7" t="n">
        <x:v>1682994259.14</x:v>
      </x:c>
      <x:c r="E53" s="1" t="str">
        <x:v>quarterly</x:v>
      </x:c>
      <x:c r="F53" s="1" t="str">
        <x:v>002803.SZ</x:v>
      </x:c>
      <x:c r="G53" s="1" t="str">
        <x:v>CNY</x:v>
      </x:c>
      <x:c r="H53" s="1" t="str">
        <x:v>yuan</x:v>
      </x:c>
      <x:c r="I53" s="1" t="n">
        <x:v>2025</x:v>
      </x:c>
      <x:c r="J53" s="1" t="n">
        <x:v>8</x:v>
      </x:c>
      <x:c r="K53" s="1" t="str">
        <x:v>https://static.cninfo.com.cn/finalpage/2026-04-01/1225066431.PDF</x:v>
      </x:c>
      <x:c r="L53" s="1" t="str">
        <x:v>as_reported</x:v>
      </x:c>
      <x:c r="M53" s="1" t="str">
        <x:v>public_report</x:v>
      </x:c>
      <x:c r="N53" s="3" t="str"/>
    </x:row>
    <x:row r="54" ht="23" customHeight="1">
      <x:c r="A54" s="1" t="str">
        <x:v>2025-Q1</x:v>
      </x:c>
      <x:c r="B54" s="1" t="str">
        <x:v>all</x:v>
      </x:c>
      <x:c r="C54" s="1" t="str">
        <x:v>net_profit_parent</x:v>
      </x:c>
      <x:c r="D54" s="7" t="n">
        <x:v>59159932.99</x:v>
      </x:c>
      <x:c r="E54" s="1" t="str">
        <x:v>quarterly</x:v>
      </x:c>
      <x:c r="F54" s="1" t="str">
        <x:v>002803.SZ</x:v>
      </x:c>
      <x:c r="G54" s="1" t="str">
        <x:v>CNY</x:v>
      </x:c>
      <x:c r="H54" s="1" t="str">
        <x:v>yuan</x:v>
      </x:c>
      <x:c r="I54" s="1" t="n">
        <x:v>2025</x:v>
      </x:c>
      <x:c r="J54" s="1" t="n">
        <x:v>8</x:v>
      </x:c>
      <x:c r="K54" s="1" t="str">
        <x:v>https://static.cninfo.com.cn/finalpage/2026-04-01/1225066431.PDF</x:v>
      </x:c>
      <x:c r="L54" s="1" t="str">
        <x:v>as_reported</x:v>
      </x:c>
      <x:c r="M54" s="1" t="str">
        <x:v>public_report</x:v>
      </x:c>
      <x:c r="N54" s="3" t="str"/>
    </x:row>
    <x:row r="55" ht="23" customHeight="1">
      <x:c r="A55" s="1" t="str">
        <x:v>2025-Q2</x:v>
      </x:c>
      <x:c r="B55" s="1" t="str">
        <x:v>all</x:v>
      </x:c>
      <x:c r="C55" s="1" t="str">
        <x:v>net_profit_parent</x:v>
      </x:c>
      <x:c r="D55" s="7" t="n">
        <x:v>58986889.32</x:v>
      </x:c>
      <x:c r="E55" s="1" t="str">
        <x:v>quarterly</x:v>
      </x:c>
      <x:c r="F55" s="1" t="str">
        <x:v>002803.SZ</x:v>
      </x:c>
      <x:c r="G55" s="1" t="str">
        <x:v>CNY</x:v>
      </x:c>
      <x:c r="H55" s="1" t="str">
        <x:v>yuan</x:v>
      </x:c>
      <x:c r="I55" s="1" t="n">
        <x:v>2025</x:v>
      </x:c>
      <x:c r="J55" s="1" t="n">
        <x:v>8</x:v>
      </x:c>
      <x:c r="K55" s="1" t="str">
        <x:v>https://static.cninfo.com.cn/finalpage/2026-04-01/1225066431.PDF</x:v>
      </x:c>
      <x:c r="L55" s="1" t="str">
        <x:v>as_reported</x:v>
      </x:c>
      <x:c r="M55" s="1" t="str">
        <x:v>public_report</x:v>
      </x:c>
      <x:c r="N55" s="3" t="str"/>
    </x:row>
    <x:row r="56" ht="23" customHeight="1">
      <x:c r="A56" s="1" t="str">
        <x:v>2025-Q3</x:v>
      </x:c>
      <x:c r="B56" s="1" t="str">
        <x:v>all</x:v>
      </x:c>
      <x:c r="C56" s="1" t="str">
        <x:v>net_profit_parent</x:v>
      </x:c>
      <x:c r="D56" s="7" t="n">
        <x:v>97476909.22</x:v>
      </x:c>
      <x:c r="E56" s="1" t="str">
        <x:v>quarterly</x:v>
      </x:c>
      <x:c r="F56" s="1" t="str">
        <x:v>002803.SZ</x:v>
      </x:c>
      <x:c r="G56" s="1" t="str">
        <x:v>CNY</x:v>
      </x:c>
      <x:c r="H56" s="1" t="str">
        <x:v>yuan</x:v>
      </x:c>
      <x:c r="I56" s="1" t="n">
        <x:v>2025</x:v>
      </x:c>
      <x:c r="J56" s="1" t="n">
        <x:v>8</x:v>
      </x:c>
      <x:c r="K56" s="1" t="str">
        <x:v>https://static.cninfo.com.cn/finalpage/2026-04-01/1225066431.PDF</x:v>
      </x:c>
      <x:c r="L56" s="1" t="str">
        <x:v>as_reported</x:v>
      </x:c>
      <x:c r="M56" s="1" t="str">
        <x:v>public_report</x:v>
      </x:c>
      <x:c r="N56" s="3" t="str"/>
    </x:row>
    <x:row r="57" ht="23" customHeight="1">
      <x:c r="A57" s="1" t="str">
        <x:v>2025-Q4</x:v>
      </x:c>
      <x:c r="B57" s="1" t="str">
        <x:v>all</x:v>
      </x:c>
      <x:c r="C57" s="1" t="str">
        <x:v>net_profit_parent</x:v>
      </x:c>
      <x:c r="D57" s="7" t="n">
        <x:v>61208238.07</x:v>
      </x:c>
      <x:c r="E57" s="1" t="str">
        <x:v>quarterly</x:v>
      </x:c>
      <x:c r="F57" s="1" t="str">
        <x:v>002803.SZ</x:v>
      </x:c>
      <x:c r="G57" s="1" t="str">
        <x:v>CNY</x:v>
      </x:c>
      <x:c r="H57" s="1" t="str">
        <x:v>yuan</x:v>
      </x:c>
      <x:c r="I57" s="1" t="n">
        <x:v>2025</x:v>
      </x:c>
      <x:c r="J57" s="1" t="n">
        <x:v>8</x:v>
      </x:c>
      <x:c r="K57" s="1" t="str">
        <x:v>https://static.cninfo.com.cn/finalpage/2026-04-01/1225066431.PDF</x:v>
      </x:c>
      <x:c r="L57" s="1" t="str">
        <x:v>as_reported</x:v>
      </x:c>
      <x:c r="M57" s="1" t="str">
        <x:v>public_report</x:v>
      </x:c>
      <x:c r="N57" s="3" t="str"/>
    </x:row>
    <x:row r="58" ht="23" customHeight="1">
      <x:c r="A58" s="1" t="str">
        <x:v>2025-Q1</x:v>
      </x:c>
      <x:c r="B58" s="1" t="str">
        <x:v>all</x:v>
      </x:c>
      <x:c r="C58" s="1" t="str">
        <x:v>net_profit_parent_excl</x:v>
      </x:c>
      <x:c r="D58" s="7" t="n">
        <x:v>57774432.55</x:v>
      </x:c>
      <x:c r="E58" s="1" t="str">
        <x:v>quarterly</x:v>
      </x:c>
      <x:c r="F58" s="1" t="str">
        <x:v>002803.SZ</x:v>
      </x:c>
      <x:c r="G58" s="1" t="str">
        <x:v>CNY</x:v>
      </x:c>
      <x:c r="H58" s="1" t="str">
        <x:v>yuan</x:v>
      </x:c>
      <x:c r="I58" s="1" t="n">
        <x:v>2025</x:v>
      </x:c>
      <x:c r="J58" s="1" t="n">
        <x:v>8</x:v>
      </x:c>
      <x:c r="K58" s="1" t="str">
        <x:v>https://static.cninfo.com.cn/finalpage/2026-04-01/1225066431.PDF</x:v>
      </x:c>
      <x:c r="L58" s="1" t="str">
        <x:v>as_reported</x:v>
      </x:c>
      <x:c r="M58" s="1" t="str">
        <x:v>public_report</x:v>
      </x:c>
      <x:c r="N58" s="3" t="str"/>
    </x:row>
    <x:row r="59" ht="23" customHeight="1">
      <x:c r="A59" s="1" t="str">
        <x:v>2025-Q2</x:v>
      </x:c>
      <x:c r="B59" s="1" t="str">
        <x:v>all</x:v>
      </x:c>
      <x:c r="C59" s="1" t="str">
        <x:v>net_profit_parent_excl</x:v>
      </x:c>
      <x:c r="D59" s="7" t="n">
        <x:v>55501495.69</x:v>
      </x:c>
      <x:c r="E59" s="1" t="str">
        <x:v>quarterly</x:v>
      </x:c>
      <x:c r="F59" s="1" t="str">
        <x:v>002803.SZ</x:v>
      </x:c>
      <x:c r="G59" s="1" t="str">
        <x:v>CNY</x:v>
      </x:c>
      <x:c r="H59" s="1" t="str">
        <x:v>yuan</x:v>
      </x:c>
      <x:c r="I59" s="1" t="n">
        <x:v>2025</x:v>
      </x:c>
      <x:c r="J59" s="1" t="n">
        <x:v>8</x:v>
      </x:c>
      <x:c r="K59" s="1" t="str">
        <x:v>https://static.cninfo.com.cn/finalpage/2026-04-01/1225066431.PDF</x:v>
      </x:c>
      <x:c r="L59" s="1" t="str">
        <x:v>as_reported</x:v>
      </x:c>
      <x:c r="M59" s="1" t="str">
        <x:v>public_report</x:v>
      </x:c>
      <x:c r="N59" s="3" t="str"/>
    </x:row>
    <x:row r="60" ht="23" customHeight="1">
      <x:c r="A60" s="1" t="str">
        <x:v>2025-Q3</x:v>
      </x:c>
      <x:c r="B60" s="1" t="str">
        <x:v>all</x:v>
      </x:c>
      <x:c r="C60" s="1" t="str">
        <x:v>net_profit_parent_excl</x:v>
      </x:c>
      <x:c r="D60" s="7" t="n">
        <x:v>92690528.06</x:v>
      </x:c>
      <x:c r="E60" s="1" t="str">
        <x:v>quarterly</x:v>
      </x:c>
      <x:c r="F60" s="1" t="str">
        <x:v>002803.SZ</x:v>
      </x:c>
      <x:c r="G60" s="1" t="str">
        <x:v>CNY</x:v>
      </x:c>
      <x:c r="H60" s="1" t="str">
        <x:v>yuan</x:v>
      </x:c>
      <x:c r="I60" s="1" t="n">
        <x:v>2025</x:v>
      </x:c>
      <x:c r="J60" s="1" t="n">
        <x:v>8</x:v>
      </x:c>
      <x:c r="K60" s="1" t="str">
        <x:v>https://static.cninfo.com.cn/finalpage/2026-04-01/1225066431.PDF</x:v>
      </x:c>
      <x:c r="L60" s="1" t="str">
        <x:v>as_reported</x:v>
      </x:c>
      <x:c r="M60" s="1" t="str">
        <x:v>public_report</x:v>
      </x:c>
      <x:c r="N60" s="3" t="str"/>
    </x:row>
    <x:row r="61" ht="23" customHeight="1">
      <x:c r="A61" s="1" t="str">
        <x:v>2025-Q4</x:v>
      </x:c>
      <x:c r="B61" s="1" t="str">
        <x:v>all</x:v>
      </x:c>
      <x:c r="C61" s="1" t="str">
        <x:v>net_profit_parent_excl</x:v>
      </x:c>
      <x:c r="D61" s="7" t="n">
        <x:v>35356336.61</x:v>
      </x:c>
      <x:c r="E61" s="1" t="str">
        <x:v>quarterly</x:v>
      </x:c>
      <x:c r="F61" s="1" t="str">
        <x:v>002803.SZ</x:v>
      </x:c>
      <x:c r="G61" s="1" t="str">
        <x:v>CNY</x:v>
      </x:c>
      <x:c r="H61" s="1" t="str">
        <x:v>yuan</x:v>
      </x:c>
      <x:c r="I61" s="1" t="n">
        <x:v>2025</x:v>
      </x:c>
      <x:c r="J61" s="1" t="n">
        <x:v>8</x:v>
      </x:c>
      <x:c r="K61" s="1" t="str">
        <x:v>https://static.cninfo.com.cn/finalpage/2026-04-01/1225066431.PDF</x:v>
      </x:c>
      <x:c r="L61" s="1" t="str">
        <x:v>as_reported</x:v>
      </x:c>
      <x:c r="M61" s="1" t="str">
        <x:v>public_report</x:v>
      </x:c>
      <x:c r="N61" s="3" t="str"/>
    </x:row>
    <x:row r="62" ht="23" customHeight="1">
      <x:c r="A62" s="1" t="str">
        <x:v>2025-Q1</x:v>
      </x:c>
      <x:c r="B62" s="1" t="str">
        <x:v>all</x:v>
      </x:c>
      <x:c r="C62" s="1" t="str">
        <x:v>operating_cash_flow</x:v>
      </x:c>
      <x:c r="D62" s="7" t="n">
        <x:v>67955719.06</x:v>
      </x:c>
      <x:c r="E62" s="1" t="str">
        <x:v>quarterly</x:v>
      </x:c>
      <x:c r="F62" s="1" t="str">
        <x:v>002803.SZ</x:v>
      </x:c>
      <x:c r="G62" s="1" t="str">
        <x:v>CNY</x:v>
      </x:c>
      <x:c r="H62" s="1" t="str">
        <x:v>yuan</x:v>
      </x:c>
      <x:c r="I62" s="1" t="n">
        <x:v>2025</x:v>
      </x:c>
      <x:c r="J62" s="1" t="n">
        <x:v>8</x:v>
      </x:c>
      <x:c r="K62" s="1" t="str">
        <x:v>https://static.cninfo.com.cn/finalpage/2026-04-01/1225066431.PDF</x:v>
      </x:c>
      <x:c r="L62" s="1" t="str">
        <x:v>as_reported</x:v>
      </x:c>
      <x:c r="M62" s="1" t="str">
        <x:v>public_report</x:v>
      </x:c>
      <x:c r="N62" s="3" t="str"/>
    </x:row>
    <x:row r="63" ht="23" customHeight="1">
      <x:c r="A63" s="1" t="str">
        <x:v>2025-Q2</x:v>
      </x:c>
      <x:c r="B63" s="1" t="str">
        <x:v>all</x:v>
      </x:c>
      <x:c r="C63" s="1" t="str">
        <x:v>operating_cash_flow</x:v>
      </x:c>
      <x:c r="D63" s="7" t="n">
        <x:v>114681743.96</x:v>
      </x:c>
      <x:c r="E63" s="1" t="str">
        <x:v>quarterly</x:v>
      </x:c>
      <x:c r="F63" s="1" t="str">
        <x:v>002803.SZ</x:v>
      </x:c>
      <x:c r="G63" s="1" t="str">
        <x:v>CNY</x:v>
      </x:c>
      <x:c r="H63" s="1" t="str">
        <x:v>yuan</x:v>
      </x:c>
      <x:c r="I63" s="1" t="n">
        <x:v>2025</x:v>
      </x:c>
      <x:c r="J63" s="1" t="n">
        <x:v>8</x:v>
      </x:c>
      <x:c r="K63" s="1" t="str">
        <x:v>https://static.cninfo.com.cn/finalpage/2026-04-01/1225066431.PDF</x:v>
      </x:c>
      <x:c r="L63" s="1" t="str">
        <x:v>as_reported</x:v>
      </x:c>
      <x:c r="M63" s="1" t="str">
        <x:v>public_report</x:v>
      </x:c>
      <x:c r="N63" s="3" t="str"/>
    </x:row>
    <x:row r="64" ht="23" customHeight="1">
      <x:c r="A64" s="1" t="str">
        <x:v>2025-Q3</x:v>
      </x:c>
      <x:c r="B64" s="1" t="str">
        <x:v>all</x:v>
      </x:c>
      <x:c r="C64" s="1" t="str">
        <x:v>operating_cash_flow</x:v>
      </x:c>
      <x:c r="D64" s="7" t="n">
        <x:v>-36762817.69</x:v>
      </x:c>
      <x:c r="E64" s="1" t="str">
        <x:v>quarterly</x:v>
      </x:c>
      <x:c r="F64" s="1" t="str">
        <x:v>002803.SZ</x:v>
      </x:c>
      <x:c r="G64" s="1" t="str">
        <x:v>CNY</x:v>
      </x:c>
      <x:c r="H64" s="1" t="str">
        <x:v>yuan</x:v>
      </x:c>
      <x:c r="I64" s="1" t="n">
        <x:v>2025</x:v>
      </x:c>
      <x:c r="J64" s="1" t="n">
        <x:v>8</x:v>
      </x:c>
      <x:c r="K64" s="1" t="str">
        <x:v>https://static.cninfo.com.cn/finalpage/2026-04-01/1225066431.PDF</x:v>
      </x:c>
      <x:c r="L64" s="1" t="str">
        <x:v>as_reported</x:v>
      </x:c>
      <x:c r="M64" s="1" t="str">
        <x:v>public_report</x:v>
      </x:c>
      <x:c r="N64" s="3" t="str"/>
    </x:row>
    <x:row r="65" ht="23" customHeight="1">
      <x:c r="A65" s="1" t="str">
        <x:v>2025-Q4</x:v>
      </x:c>
      <x:c r="B65" s="1" t="str">
        <x:v>all</x:v>
      </x:c>
      <x:c r="C65" s="1" t="str">
        <x:v>operating_cash_flow</x:v>
      </x:c>
      <x:c r="D65" s="7" t="n">
        <x:v>115345203.38</x:v>
      </x:c>
      <x:c r="E65" s="1" t="str">
        <x:v>quarterly</x:v>
      </x:c>
      <x:c r="F65" s="1" t="str">
        <x:v>002803.SZ</x:v>
      </x:c>
      <x:c r="G65" s="1" t="str">
        <x:v>CNY</x:v>
      </x:c>
      <x:c r="H65" s="1" t="str">
        <x:v>yuan</x:v>
      </x:c>
      <x:c r="I65" s="1" t="n">
        <x:v>2025</x:v>
      </x:c>
      <x:c r="J65" s="1" t="n">
        <x:v>8</x:v>
      </x:c>
      <x:c r="K65" s="1" t="str">
        <x:v>https://static.cninfo.com.cn/finalpage/2026-04-01/1225066431.PDF</x:v>
      </x:c>
      <x:c r="L65" s="1" t="str">
        <x:v>as_reported</x:v>
      </x:c>
      <x:c r="M65" s="1" t="str">
        <x:v>public_report</x:v>
      </x:c>
      <x:c r="N65" s="3" t="str"/>
    </x:row>
  </x:sheetData>
  <x:pageMargins left="0.7" right="0.7" top="0.75" bottom="0.75" header="0.3" footer="0.3"/>
  <x:legacyDrawing xmlns:r="http://schemas.openxmlformats.org/officeDocument/2006/relationships" r:id="R66cce6c4813e43c4"/>
  <x:tableParts count="1">
    <x:tablePart xmlns:r="http://schemas.openxmlformats.org/officeDocument/2006/relationships" r:id="Rc54474bfdb1342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7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1" hidden="0" customWidth="1"/>
    <x:col min="10" max="10" width="21" hidden="0" customWidth="1"/>
    <x:col min="11" max="11" width="80" hidden="0" customWidth="1"/>
    <x:col min="12" max="12" width="17" hidden="0" customWidth="1"/>
    <x:col min="13" max="13" width="17" hidden="0" customWidth="1"/>
    <x:col min="14" max="14" width="75" hidden="0" customWidth="1"/>
  </x:cols>
  <x:sheetData>
    <x:row r="1" ht="34" customHeight="1">
      <x:c r="A1" s="6" t="str">
        <x:v>period</x:v>
      </x:c>
      <x:c r="B1" s="6" t="str">
        <x:v>business_unit</x:v>
      </x:c>
      <x:c r="C1" s="6" t="str">
        <x:v>metric</x:v>
      </x:c>
      <x:c r="D1" s="6" t="str">
        <x:v>value</x:v>
      </x:c>
      <x:c r="E1" s="6" t="str">
        <x:v>dataset_type</x:v>
      </x:c>
      <x:c r="F1" s="6" t="str">
        <x:v>company_code</x:v>
      </x:c>
      <x:c r="G1" s="6" t="str">
        <x:v>currency</x:v>
      </x:c>
      <x:c r="H1" s="6" t="str">
        <x:v>unit</x:v>
      </x:c>
      <x:c r="I1" s="6" t="str">
        <x:v>source_report_year</x:v>
      </x:c>
      <x:c r="J1" s="6" t="str">
        <x:v>source_page</x:v>
      </x:c>
      <x:c r="K1" s="6" t="str">
        <x:v>source_url</x:v>
      </x:c>
      <x:c r="L1" s="6" t="str">
        <x:v>basis</x:v>
      </x:c>
      <x:c r="M1" s="6" t="str">
        <x:v>data_kind</x:v>
      </x:c>
      <x:c r="N1" s="6" t="str">
        <x:v>notes</x:v>
      </x:c>
    </x:row>
    <x:row r="2" ht="62" customHeight="1">
      <x:c r="A2" s="1" t="str">
        <x:v>2022</x:v>
      </x:c>
      <x:c r="B2" s="1" t="str">
        <x:v>legacy_internet</x:v>
      </x:c>
      <x:c r="C2" s="1" t="str">
        <x:v>revenue</x:v>
      </x:c>
      <x:c r="D2" s="7" t="n">
        <x:v>3352627461.31</x:v>
      </x:c>
      <x:c r="E2" s="1" t="str">
        <x:v>business</x:v>
      </x:c>
      <x:c r="F2" s="1" t="str">
        <x:v>002803.SZ</x:v>
      </x:c>
      <x:c r="G2" s="1" t="str">
        <x:v>CNY</x:v>
      </x:c>
      <x:c r="H2" s="1" t="str">
        <x:v>yuan</x:v>
      </x:c>
      <x:c r="I2" s="1" t="n">
        <x:v>2022</x:v>
      </x:c>
      <x:c r="J2" s="1" t="n">
        <x:v>21</x:v>
      </x:c>
      <x:c r="K2" s="1" t="str">
        <x:v>https://static.cninfo.com.cn/finalpage/2023-04-12/1216381312.PDF</x:v>
      </x:c>
      <x:c r="L2" s="1" t="str">
        <x:v>as_reported</x:v>
      </x:c>
      <x:c r="M2" s="1" t="str">
        <x:v>public_report</x:v>
      </x:c>
      <x:c r="N2" s="3" t="str">
        <x:v>2022年互联网业务含跨境电商和互联网营销广告，不等于2023-2025年电商业务。不得将两个业务分类直接同比；原年报业务分类全部保留。</x:v>
      </x:c>
    </x:row>
    <x:row r="3" ht="62" customHeight="1">
      <x:c r="A3" s="1" t="str">
        <x:v>2022</x:v>
      </x:c>
      <x:c r="B3" s="1" t="str">
        <x:v>legacy_internet</x:v>
      </x:c>
      <x:c r="C3" s="1" t="str">
        <x:v>cost_of_revenue</x:v>
      </x:c>
      <x:c r="D3" s="7" t="n">
        <x:v>1478642514.77</x:v>
      </x:c>
      <x:c r="E3" s="1" t="str">
        <x:v>business</x:v>
      </x:c>
      <x:c r="F3" s="1" t="str">
        <x:v>002803.SZ</x:v>
      </x:c>
      <x:c r="G3" s="1" t="str">
        <x:v>CNY</x:v>
      </x:c>
      <x:c r="H3" s="1" t="str">
        <x:v>yuan</x:v>
      </x:c>
      <x:c r="I3" s="1" t="n">
        <x:v>2022</x:v>
      </x:c>
      <x:c r="J3" s="1" t="n">
        <x:v>23</x:v>
      </x:c>
      <x:c r="K3" s="1" t="str">
        <x:v>https://static.cninfo.com.cn/finalpage/2023-04-12/1216381312.PDF</x:v>
      </x:c>
      <x:c r="L3" s="1" t="str">
        <x:v>as_reported</x:v>
      </x:c>
      <x:c r="M3" s="1" t="str">
        <x:v>public_report</x:v>
      </x:c>
      <x:c r="N3" s="3" t="str">
        <x:v>2022年互联网业务含跨境电商和互联网营销广告，不等于2023-2025年电商业务。不得将两个业务分类直接同比；原年报业务分类全部保留。</x:v>
      </x:c>
    </x:row>
    <x:row r="4" ht="62" customHeight="1">
      <x:c r="A4" s="1" t="str">
        <x:v>2022</x:v>
      </x:c>
      <x:c r="B4" s="1" t="str">
        <x:v>packaging</x:v>
      </x:c>
      <x:c r="C4" s="1" t="str">
        <x:v>revenue</x:v>
      </x:c>
      <x:c r="D4" s="7" t="n">
        <x:v>1982591308.79</x:v>
      </x:c>
      <x:c r="E4" s="1" t="str">
        <x:v>business</x:v>
      </x:c>
      <x:c r="F4" s="1" t="str">
        <x:v>002803.SZ</x:v>
      </x:c>
      <x:c r="G4" s="1" t="str">
        <x:v>CNY</x:v>
      </x:c>
      <x:c r="H4" s="1" t="str">
        <x:v>yuan</x:v>
      </x:c>
      <x:c r="I4" s="1" t="n">
        <x:v>2022</x:v>
      </x:c>
      <x:c r="J4" s="1" t="n">
        <x:v>21</x:v>
      </x:c>
      <x:c r="K4" s="1" t="str">
        <x:v>https://static.cninfo.com.cn/finalpage/2023-04-12/1216381312.PDF</x:v>
      </x:c>
      <x:c r="L4" s="1" t="str">
        <x:v>as_reported</x:v>
      </x:c>
      <x:c r="M4" s="1" t="str">
        <x:v>public_report</x:v>
      </x:c>
      <x:c r="N4" s="3" t="str">
        <x:v>2022年互联网业务含跨境电商和互联网营销广告，不等于2023-2025年电商业务。不得将两个业务分类直接同比；原年报业务分类全部保留。</x:v>
      </x:c>
    </x:row>
    <x:row r="5" ht="62" customHeight="1">
      <x:c r="A5" s="1" t="str">
        <x:v>2022</x:v>
      </x:c>
      <x:c r="B5" s="1" t="str">
        <x:v>packaging</x:v>
      </x:c>
      <x:c r="C5" s="1" t="str">
        <x:v>cost_of_revenue</x:v>
      </x:c>
      <x:c r="D5" s="7" t="n">
        <x:v>1670055959.66</x:v>
      </x:c>
      <x:c r="E5" s="1" t="str">
        <x:v>business</x:v>
      </x:c>
      <x:c r="F5" s="1" t="str">
        <x:v>002803.SZ</x:v>
      </x:c>
      <x:c r="G5" s="1" t="str">
        <x:v>CNY</x:v>
      </x:c>
      <x:c r="H5" s="1" t="str">
        <x:v>yuan</x:v>
      </x:c>
      <x:c r="I5" s="1" t="n">
        <x:v>2022</x:v>
      </x:c>
      <x:c r="J5" s="1" t="n">
        <x:v>23</x:v>
      </x:c>
      <x:c r="K5" s="1" t="str">
        <x:v>https://static.cninfo.com.cn/finalpage/2023-04-12/1216381312.PDF</x:v>
      </x:c>
      <x:c r="L5" s="1" t="str">
        <x:v>as_reported</x:v>
      </x:c>
      <x:c r="M5" s="1" t="str">
        <x:v>public_report</x:v>
      </x:c>
      <x:c r="N5" s="3" t="str">
        <x:v>2022年互联网业务含跨境电商和互联网营销广告，不等于2023-2025年电商业务。不得将两个业务分类直接同比；原年报业务分类全部保留。</x:v>
      </x:c>
    </x:row>
    <x:row r="6" ht="62" customHeight="1">
      <x:c r="A6" s="1" t="str">
        <x:v>2022</x:v>
      </x:c>
      <x:c r="B6" s="1" t="str">
        <x:v>supply_chain</x:v>
      </x:c>
      <x:c r="C6" s="1" t="str">
        <x:v>revenue</x:v>
      </x:c>
      <x:c r="D6" s="7" t="n">
        <x:v>40664855.59</x:v>
      </x:c>
      <x:c r="E6" s="1" t="str">
        <x:v>business</x:v>
      </x:c>
      <x:c r="F6" s="1" t="str">
        <x:v>002803.SZ</x:v>
      </x:c>
      <x:c r="G6" s="1" t="str">
        <x:v>CNY</x:v>
      </x:c>
      <x:c r="H6" s="1" t="str">
        <x:v>yuan</x:v>
      </x:c>
      <x:c r="I6" s="1" t="n">
        <x:v>2022</x:v>
      </x:c>
      <x:c r="J6" s="1" t="n">
        <x:v>21</x:v>
      </x:c>
      <x:c r="K6" s="1" t="str">
        <x:v>https://static.cninfo.com.cn/finalpage/2023-04-12/1216381312.PDF</x:v>
      </x:c>
      <x:c r="L6" s="1" t="str">
        <x:v>as_reported</x:v>
      </x:c>
      <x:c r="M6" s="1" t="str">
        <x:v>public_report</x:v>
      </x:c>
      <x:c r="N6" s="3" t="str">
        <x:v>2022年互联网业务含跨境电商和互联网营销广告，不等于2023-2025年电商业务。不得将两个业务分类直接同比；原年报业务分类全部保留。</x:v>
      </x:c>
    </x:row>
    <x:row r="7" ht="62" customHeight="1">
      <x:c r="A7" s="1" t="str">
        <x:v>2022</x:v>
      </x:c>
      <x:c r="B7" s="1" t="str">
        <x:v>supply_chain</x:v>
      </x:c>
      <x:c r="C7" s="1" t="str">
        <x:v>cost_of_revenue</x:v>
      </x:c>
      <x:c r="D7" s="7" t="n">
        <x:v>39831285.22</x:v>
      </x:c>
      <x:c r="E7" s="1" t="str">
        <x:v>business</x:v>
      </x:c>
      <x:c r="F7" s="1" t="str">
        <x:v>002803.SZ</x:v>
      </x:c>
      <x:c r="G7" s="1" t="str">
        <x:v>CNY</x:v>
      </x:c>
      <x:c r="H7" s="1" t="str">
        <x:v>yuan</x:v>
      </x:c>
      <x:c r="I7" s="1" t="n">
        <x:v>2022</x:v>
      </x:c>
      <x:c r="J7" s="1" t="n">
        <x:v>23</x:v>
      </x:c>
      <x:c r="K7" s="1" t="str">
        <x:v>https://static.cninfo.com.cn/finalpage/2023-04-12/1216381312.PDF</x:v>
      </x:c>
      <x:c r="L7" s="1" t="str">
        <x:v>as_reported</x:v>
      </x:c>
      <x:c r="M7" s="1" t="str">
        <x:v>public_report</x:v>
      </x:c>
      <x:c r="N7" s="3" t="str">
        <x:v>2022年互联网业务含跨境电商和互联网营销广告，不等于2023-2025年电商业务。不得将两个业务分类直接同比；原年报业务分类全部保留。</x:v>
      </x:c>
    </x:row>
    <x:row r="8" ht="23" customHeight="1">
      <x:c r="A8" s="1" t="str">
        <x:v>2023</x:v>
      </x:c>
      <x:c r="B8" s="1" t="str">
        <x:v>packaging</x:v>
      </x:c>
      <x:c r="C8" s="1" t="str">
        <x:v>revenue</x:v>
      </x:c>
      <x:c r="D8" s="7" t="n">
        <x:v>2096605985</x:v>
      </x:c>
      <x:c r="E8" s="1" t="str">
        <x:v>business</x:v>
      </x:c>
      <x:c r="F8" s="1" t="str">
        <x:v>002803.SZ</x:v>
      </x:c>
      <x:c r="G8" s="1" t="str">
        <x:v>CNY</x:v>
      </x:c>
      <x:c r="H8" s="1" t="str">
        <x:v>yuan</x:v>
      </x:c>
      <x:c r="I8" s="1" t="n">
        <x:v>2023</x:v>
      </x:c>
      <x:c r="J8" s="1" t="n">
        <x:v>17</x:v>
      </x:c>
      <x:c r="K8" s="1" t="str">
        <x:v>https://static.cninfo.com.cn/finalpage/2024-03-30/1219463249.PDF</x:v>
      </x:c>
      <x:c r="L8" s="1" t="str">
        <x:v>as_reported</x:v>
      </x:c>
      <x:c r="M8" s="1" t="str">
        <x:v>public_report</x:v>
      </x:c>
      <x:c r="N8" s="3" t="str"/>
    </x:row>
    <x:row r="9" ht="23" customHeight="1">
      <x:c r="A9" s="1" t="str">
        <x:v>2023</x:v>
      </x:c>
      <x:c r="B9" s="1" t="str">
        <x:v>packaging</x:v>
      </x:c>
      <x:c r="C9" s="1" t="str">
        <x:v>cost_of_revenue</x:v>
      </x:c>
      <x:c r="D9" s="7" t="n">
        <x:v>1693986600.95</x:v>
      </x:c>
      <x:c r="E9" s="1" t="str">
        <x:v>business</x:v>
      </x:c>
      <x:c r="F9" s="1" t="str">
        <x:v>002803.SZ</x:v>
      </x:c>
      <x:c r="G9" s="1" t="str">
        <x:v>CNY</x:v>
      </x:c>
      <x:c r="H9" s="1" t="str">
        <x:v>yuan</x:v>
      </x:c>
      <x:c r="I9" s="1" t="n">
        <x:v>2023</x:v>
      </x:c>
      <x:c r="J9" s="1" t="n">
        <x:v>19</x:v>
      </x:c>
      <x:c r="K9" s="1" t="str">
        <x:v>https://static.cninfo.com.cn/finalpage/2024-03-30/1219463249.PDF</x:v>
      </x:c>
      <x:c r="L9" s="1" t="str">
        <x:v>as_reported</x:v>
      </x:c>
      <x:c r="M9" s="1" t="str">
        <x:v>public_report</x:v>
      </x:c>
      <x:c r="N9" s="3" t="str"/>
    </x:row>
    <x:row r="10" ht="23" customHeight="1">
      <x:c r="A10" s="1" t="str">
        <x:v>2023</x:v>
      </x:c>
      <x:c r="B10" s="1" t="str">
        <x:v>ecommerce</x:v>
      </x:c>
      <x:c r="C10" s="1" t="str">
        <x:v>revenue</x:v>
      </x:c>
      <x:c r="D10" s="7" t="n">
        <x:v>4256637147.12</x:v>
      </x:c>
      <x:c r="E10" s="1" t="str">
        <x:v>business</x:v>
      </x:c>
      <x:c r="F10" s="1" t="str">
        <x:v>002803.SZ</x:v>
      </x:c>
      <x:c r="G10" s="1" t="str">
        <x:v>CNY</x:v>
      </x:c>
      <x:c r="H10" s="1" t="str">
        <x:v>yuan</x:v>
      </x:c>
      <x:c r="I10" s="1" t="n">
        <x:v>2023</x:v>
      </x:c>
      <x:c r="J10" s="1" t="n">
        <x:v>17</x:v>
      </x:c>
      <x:c r="K10" s="1" t="str">
        <x:v>https://static.cninfo.com.cn/finalpage/2024-03-30/1219463249.PDF</x:v>
      </x:c>
      <x:c r="L10" s="1" t="str">
        <x:v>as_reported</x:v>
      </x:c>
      <x:c r="M10" s="1" t="str">
        <x:v>public_report</x:v>
      </x:c>
      <x:c r="N10" s="3" t="str"/>
    </x:row>
    <x:row r="11" ht="23" customHeight="1">
      <x:c r="A11" s="1" t="str">
        <x:v>2023</x:v>
      </x:c>
      <x:c r="B11" s="1" t="str">
        <x:v>ecommerce</x:v>
      </x:c>
      <x:c r="C11" s="1" t="str">
        <x:v>cost_of_revenue</x:v>
      </x:c>
      <x:c r="D11" s="7" t="n">
        <x:v>1561741238.73</x:v>
      </x:c>
      <x:c r="E11" s="1" t="str">
        <x:v>business</x:v>
      </x:c>
      <x:c r="F11" s="1" t="str">
        <x:v>002803.SZ</x:v>
      </x:c>
      <x:c r="G11" s="1" t="str">
        <x:v>CNY</x:v>
      </x:c>
      <x:c r="H11" s="1" t="str">
        <x:v>yuan</x:v>
      </x:c>
      <x:c r="I11" s="1" t="n">
        <x:v>2023</x:v>
      </x:c>
      <x:c r="J11" s="1" t="n">
        <x:v>19</x:v>
      </x:c>
      <x:c r="K11" s="1" t="str">
        <x:v>https://static.cninfo.com.cn/finalpage/2024-03-30/1219463249.PDF</x:v>
      </x:c>
      <x:c r="L11" s="1" t="str">
        <x:v>as_reported</x:v>
      </x:c>
      <x:c r="M11" s="1" t="str">
        <x:v>public_report</x:v>
      </x:c>
      <x:c r="N11" s="3" t="str"/>
    </x:row>
    <x:row r="12" ht="23" customHeight="1">
      <x:c r="A12" s="1" t="str">
        <x:v>2023</x:v>
      </x:c>
      <x:c r="B12" s="1" t="str">
        <x:v>other</x:v>
      </x:c>
      <x:c r="C12" s="1" t="str">
        <x:v>revenue</x:v>
      </x:c>
      <x:c r="D12" s="7" t="n">
        <x:v>341437520.22</x:v>
      </x:c>
      <x:c r="E12" s="1" t="str">
        <x:v>business</x:v>
      </x:c>
      <x:c r="F12" s="1" t="str">
        <x:v>002803.SZ</x:v>
      </x:c>
      <x:c r="G12" s="1" t="str">
        <x:v>CNY</x:v>
      </x:c>
      <x:c r="H12" s="1" t="str">
        <x:v>yuan</x:v>
      </x:c>
      <x:c r="I12" s="1" t="n">
        <x:v>2023</x:v>
      </x:c>
      <x:c r="J12" s="1" t="n">
        <x:v>17</x:v>
      </x:c>
      <x:c r="K12" s="1" t="str">
        <x:v>https://static.cninfo.com.cn/finalpage/2024-03-30/1219463249.PDF</x:v>
      </x:c>
      <x:c r="L12" s="1" t="str">
        <x:v>as_reported</x:v>
      </x:c>
      <x:c r="M12" s="1" t="str">
        <x:v>public_report</x:v>
      </x:c>
      <x:c r="N12" s="3" t="str"/>
    </x:row>
    <x:row r="13" ht="23" customHeight="1">
      <x:c r="A13" s="1" t="str">
        <x:v>2023</x:v>
      </x:c>
      <x:c r="B13" s="1" t="str">
        <x:v>other</x:v>
      </x:c>
      <x:c r="C13" s="1" t="str">
        <x:v>cost_of_revenue</x:v>
      </x:c>
      <x:c r="D13" s="7" t="n">
        <x:v>315186197.14</x:v>
      </x:c>
      <x:c r="E13" s="1" t="str">
        <x:v>business</x:v>
      </x:c>
      <x:c r="F13" s="1" t="str">
        <x:v>002803.SZ</x:v>
      </x:c>
      <x:c r="G13" s="1" t="str">
        <x:v>CNY</x:v>
      </x:c>
      <x:c r="H13" s="1" t="str">
        <x:v>yuan</x:v>
      </x:c>
      <x:c r="I13" s="1" t="n">
        <x:v>2023</x:v>
      </x:c>
      <x:c r="J13" s="1" t="n">
        <x:v>19</x:v>
      </x:c>
      <x:c r="K13" s="1" t="str">
        <x:v>https://static.cninfo.com.cn/finalpage/2024-03-30/1219463249.PDF</x:v>
      </x:c>
      <x:c r="L13" s="1" t="str">
        <x:v>as_reported</x:v>
      </x:c>
      <x:c r="M13" s="1" t="str">
        <x:v>public_report</x:v>
      </x:c>
      <x:c r="N13" s="3" t="str"/>
    </x:row>
    <x:row r="14" ht="23" customHeight="1">
      <x:c r="A14" s="1" t="str">
        <x:v>2024</x:v>
      </x:c>
      <x:c r="B14" s="1" t="str">
        <x:v>packaging</x:v>
      </x:c>
      <x:c r="C14" s="1" t="str">
        <x:v>revenue</x:v>
      </x:c>
      <x:c r="D14" s="7" t="n">
        <x:v>2099460602.86</x:v>
      </x:c>
      <x:c r="E14" s="1" t="str">
        <x:v>business</x:v>
      </x:c>
      <x:c r="F14" s="1" t="str">
        <x:v>002803.SZ</x:v>
      </x:c>
      <x:c r="G14" s="1" t="str">
        <x:v>CNY</x:v>
      </x:c>
      <x:c r="H14" s="1" t="str">
        <x:v>yuan</x:v>
      </x:c>
      <x:c r="I14" s="1" t="n">
        <x:v>2024</x:v>
      </x:c>
      <x:c r="J14" s="1" t="n">
        <x:v>18</x:v>
      </x:c>
      <x:c r="K14" s="1" t="str">
        <x:v>https://static.cninfo.com.cn/finalpage/2025-04-02/1222983627.PDF</x:v>
      </x:c>
      <x:c r="L14" s="1" t="str">
        <x:v>as_reported</x:v>
      </x:c>
      <x:c r="M14" s="1" t="str">
        <x:v>public_report</x:v>
      </x:c>
      <x:c r="N14" s="3" t="str"/>
    </x:row>
    <x:row r="15" ht="23" customHeight="1">
      <x:c r="A15" s="1" t="str">
        <x:v>2024</x:v>
      </x:c>
      <x:c r="B15" s="1" t="str">
        <x:v>packaging</x:v>
      </x:c>
      <x:c r="C15" s="1" t="str">
        <x:v>cost_of_revenue</x:v>
      </x:c>
      <x:c r="D15" s="7" t="n">
        <x:v>1724659164.07</x:v>
      </x:c>
      <x:c r="E15" s="1" t="str">
        <x:v>business</x:v>
      </x:c>
      <x:c r="F15" s="1" t="str">
        <x:v>002803.SZ</x:v>
      </x:c>
      <x:c r="G15" s="1" t="str">
        <x:v>CNY</x:v>
      </x:c>
      <x:c r="H15" s="1" t="str">
        <x:v>yuan</x:v>
      </x:c>
      <x:c r="I15" s="1" t="n">
        <x:v>2024</x:v>
      </x:c>
      <x:c r="J15" s="1" t="n">
        <x:v>19</x:v>
      </x:c>
      <x:c r="K15" s="1" t="str">
        <x:v>https://static.cninfo.com.cn/finalpage/2025-04-02/1222983627.PDF</x:v>
      </x:c>
      <x:c r="L15" s="1" t="str">
        <x:v>as_reported</x:v>
      </x:c>
      <x:c r="M15" s="1" t="str">
        <x:v>public_report</x:v>
      </x:c>
      <x:c r="N15" s="3" t="str"/>
    </x:row>
    <x:row r="16" ht="23" customHeight="1">
      <x:c r="A16" s="1" t="str">
        <x:v>2024</x:v>
      </x:c>
      <x:c r="B16" s="1" t="str">
        <x:v>ecommerce</x:v>
      </x:c>
      <x:c r="C16" s="1" t="str">
        <x:v>revenue</x:v>
      </x:c>
      <x:c r="D16" s="7" t="n">
        <x:v>3365903051.03</x:v>
      </x:c>
      <x:c r="E16" s="1" t="str">
        <x:v>business</x:v>
      </x:c>
      <x:c r="F16" s="1" t="str">
        <x:v>002803.SZ</x:v>
      </x:c>
      <x:c r="G16" s="1" t="str">
        <x:v>CNY</x:v>
      </x:c>
      <x:c r="H16" s="1" t="str">
        <x:v>yuan</x:v>
      </x:c>
      <x:c r="I16" s="1" t="n">
        <x:v>2024</x:v>
      </x:c>
      <x:c r="J16" s="1" t="n">
        <x:v>18</x:v>
      </x:c>
      <x:c r="K16" s="1" t="str">
        <x:v>https://static.cninfo.com.cn/finalpage/2025-04-02/1222983627.PDF</x:v>
      </x:c>
      <x:c r="L16" s="1" t="str">
        <x:v>as_reported</x:v>
      </x:c>
      <x:c r="M16" s="1" t="str">
        <x:v>public_report</x:v>
      </x:c>
      <x:c r="N16" s="3" t="str"/>
    </x:row>
    <x:row r="17" ht="23" customHeight="1">
      <x:c r="A17" s="1" t="str">
        <x:v>2024</x:v>
      </x:c>
      <x:c r="B17" s="1" t="str">
        <x:v>ecommerce</x:v>
      </x:c>
      <x:c r="C17" s="1" t="str">
        <x:v>cost_of_revenue</x:v>
      </x:c>
      <x:c r="D17" s="7" t="n">
        <x:v>1319580360.15</x:v>
      </x:c>
      <x:c r="E17" s="1" t="str">
        <x:v>business</x:v>
      </x:c>
      <x:c r="F17" s="1" t="str">
        <x:v>002803.SZ</x:v>
      </x:c>
      <x:c r="G17" s="1" t="str">
        <x:v>CNY</x:v>
      </x:c>
      <x:c r="H17" s="1" t="str">
        <x:v>yuan</x:v>
      </x:c>
      <x:c r="I17" s="1" t="n">
        <x:v>2024</x:v>
      </x:c>
      <x:c r="J17" s="1" t="n">
        <x:v>19</x:v>
      </x:c>
      <x:c r="K17" s="1" t="str">
        <x:v>https://static.cninfo.com.cn/finalpage/2025-04-02/1222983627.PDF</x:v>
      </x:c>
      <x:c r="L17" s="1" t="str">
        <x:v>as_reported</x:v>
      </x:c>
      <x:c r="M17" s="1" t="str">
        <x:v>public_report</x:v>
      </x:c>
      <x:c r="N17" s="3" t="str"/>
    </x:row>
    <x:row r="18" ht="23" customHeight="1">
      <x:c r="A18" s="1" t="str">
        <x:v>2024</x:v>
      </x:c>
      <x:c r="B18" s="1" t="str">
        <x:v>other</x:v>
      </x:c>
      <x:c r="C18" s="1" t="str">
        <x:v>revenue</x:v>
      </x:c>
      <x:c r="D18" s="7" t="n">
        <x:v>63894918.66</x:v>
      </x:c>
      <x:c r="E18" s="1" t="str">
        <x:v>business</x:v>
      </x:c>
      <x:c r="F18" s="1" t="str">
        <x:v>002803.SZ</x:v>
      </x:c>
      <x:c r="G18" s="1" t="str">
        <x:v>CNY</x:v>
      </x:c>
      <x:c r="H18" s="1" t="str">
        <x:v>yuan</x:v>
      </x:c>
      <x:c r="I18" s="1" t="n">
        <x:v>2024</x:v>
      </x:c>
      <x:c r="J18" s="1" t="n">
        <x:v>18</x:v>
      </x:c>
      <x:c r="K18" s="1" t="str">
        <x:v>https://static.cninfo.com.cn/finalpage/2025-04-02/1222983627.PDF</x:v>
      </x:c>
      <x:c r="L18" s="1" t="str">
        <x:v>as_reported</x:v>
      </x:c>
      <x:c r="M18" s="1" t="str">
        <x:v>public_report</x:v>
      </x:c>
      <x:c r="N18" s="3" t="str"/>
    </x:row>
    <x:row r="19" ht="23" customHeight="1">
      <x:c r="A19" s="1" t="str">
        <x:v>2024</x:v>
      </x:c>
      <x:c r="B19" s="1" t="str">
        <x:v>other</x:v>
      </x:c>
      <x:c r="C19" s="1" t="str">
        <x:v>cost_of_revenue</x:v>
      </x:c>
      <x:c r="D19" s="7" t="n">
        <x:v>56164662.23</x:v>
      </x:c>
      <x:c r="E19" s="1" t="str">
        <x:v>business</x:v>
      </x:c>
      <x:c r="F19" s="1" t="str">
        <x:v>002803.SZ</x:v>
      </x:c>
      <x:c r="G19" s="1" t="str">
        <x:v>CNY</x:v>
      </x:c>
      <x:c r="H19" s="1" t="str">
        <x:v>yuan</x:v>
      </x:c>
      <x:c r="I19" s="1" t="n">
        <x:v>2024</x:v>
      </x:c>
      <x:c r="J19" s="1" t="n">
        <x:v>19</x:v>
      </x:c>
      <x:c r="K19" s="1" t="str">
        <x:v>https://static.cninfo.com.cn/finalpage/2025-04-02/1222983627.PDF</x:v>
      </x:c>
      <x:c r="L19" s="1" t="str">
        <x:v>as_reported</x:v>
      </x:c>
      <x:c r="M19" s="1" t="str">
        <x:v>public_report</x:v>
      </x:c>
      <x:c r="N19" s="3" t="str"/>
    </x:row>
    <x:row r="20" ht="23" customHeight="1">
      <x:c r="A20" s="1" t="str">
        <x:v>2025</x:v>
      </x:c>
      <x:c r="B20" s="1" t="str">
        <x:v>packaging</x:v>
      </x:c>
      <x:c r="C20" s="1" t="str">
        <x:v>revenue</x:v>
      </x:c>
      <x:c r="D20" s="7" t="n">
        <x:v>2345320841.87</x:v>
      </x:c>
      <x:c r="E20" s="1" t="str">
        <x:v>business</x:v>
      </x:c>
      <x:c r="F20" s="1" t="str">
        <x:v>002803.SZ</x:v>
      </x:c>
      <x:c r="G20" s="1" t="str">
        <x:v>CNY</x:v>
      </x:c>
      <x:c r="H20" s="1" t="str">
        <x:v>yuan</x:v>
      </x:c>
      <x:c r="I20" s="1" t="n">
        <x:v>2025</x:v>
      </x:c>
      <x:c r="J20" s="1" t="n">
        <x:v>15</x:v>
      </x:c>
      <x:c r="K20" s="1" t="str">
        <x:v>https://static.cninfo.com.cn/finalpage/2026-04-01/1225066431.PDF</x:v>
      </x:c>
      <x:c r="L20" s="1" t="str">
        <x:v>as_reported</x:v>
      </x:c>
      <x:c r="M20" s="1" t="str">
        <x:v>public_report</x:v>
      </x:c>
      <x:c r="N20" s="3" t="str"/>
    </x:row>
    <x:row r="21" ht="23" customHeight="1">
      <x:c r="A21" s="1" t="str">
        <x:v>2025</x:v>
      </x:c>
      <x:c r="B21" s="1" t="str">
        <x:v>packaging</x:v>
      </x:c>
      <x:c r="C21" s="1" t="str">
        <x:v>cost_of_revenue</x:v>
      </x:c>
      <x:c r="D21" s="7" t="n">
        <x:v>1860020357.92</x:v>
      </x:c>
      <x:c r="E21" s="1" t="str">
        <x:v>business</x:v>
      </x:c>
      <x:c r="F21" s="1" t="str">
        <x:v>002803.SZ</x:v>
      </x:c>
      <x:c r="G21" s="1" t="str">
        <x:v>CNY</x:v>
      </x:c>
      <x:c r="H21" s="1" t="str">
        <x:v>yuan</x:v>
      </x:c>
      <x:c r="I21" s="1" t="n">
        <x:v>2025</x:v>
      </x:c>
      <x:c r="J21" s="1" t="n">
        <x:v>16</x:v>
      </x:c>
      <x:c r="K21" s="1" t="str">
        <x:v>https://static.cninfo.com.cn/finalpage/2026-04-01/1225066431.PDF</x:v>
      </x:c>
      <x:c r="L21" s="1" t="str">
        <x:v>as_reported</x:v>
      </x:c>
      <x:c r="M21" s="1" t="str">
        <x:v>public_report</x:v>
      </x:c>
      <x:c r="N21" s="3" t="str"/>
    </x:row>
    <x:row r="22" ht="23" customHeight="1">
      <x:c r="A22" s="1" t="str">
        <x:v>2025</x:v>
      </x:c>
      <x:c r="B22" s="1" t="str">
        <x:v>ecommerce</x:v>
      </x:c>
      <x:c r="C22" s="1" t="str">
        <x:v>revenue</x:v>
      </x:c>
      <x:c r="D22" s="7" t="n">
        <x:v>4373200452.01</x:v>
      </x:c>
      <x:c r="E22" s="1" t="str">
        <x:v>business</x:v>
      </x:c>
      <x:c r="F22" s="1" t="str">
        <x:v>002803.SZ</x:v>
      </x:c>
      <x:c r="G22" s="1" t="str">
        <x:v>CNY</x:v>
      </x:c>
      <x:c r="H22" s="1" t="str">
        <x:v>yuan</x:v>
      </x:c>
      <x:c r="I22" s="1" t="n">
        <x:v>2025</x:v>
      </x:c>
      <x:c r="J22" s="1" t="n">
        <x:v>15</x:v>
      </x:c>
      <x:c r="K22" s="1" t="str">
        <x:v>https://static.cninfo.com.cn/finalpage/2026-04-01/1225066431.PDF</x:v>
      </x:c>
      <x:c r="L22" s="1" t="str">
        <x:v>as_reported</x:v>
      </x:c>
      <x:c r="M22" s="1" t="str">
        <x:v>public_report</x:v>
      </x:c>
      <x:c r="N22" s="3" t="str"/>
    </x:row>
    <x:row r="23" ht="23" customHeight="1">
      <x:c r="A23" s="1" t="str">
        <x:v>2025</x:v>
      </x:c>
      <x:c r="B23" s="1" t="str">
        <x:v>ecommerce</x:v>
      </x:c>
      <x:c r="C23" s="1" t="str">
        <x:v>cost_of_revenue</x:v>
      </x:c>
      <x:c r="D23" s="7" t="n">
        <x:v>1704824545.19</x:v>
      </x:c>
      <x:c r="E23" s="1" t="str">
        <x:v>business</x:v>
      </x:c>
      <x:c r="F23" s="1" t="str">
        <x:v>002803.SZ</x:v>
      </x:c>
      <x:c r="G23" s="1" t="str">
        <x:v>CNY</x:v>
      </x:c>
      <x:c r="H23" s="1" t="str">
        <x:v>yuan</x:v>
      </x:c>
      <x:c r="I23" s="1" t="n">
        <x:v>2025</x:v>
      </x:c>
      <x:c r="J23" s="1" t="n">
        <x:v>16</x:v>
      </x:c>
      <x:c r="K23" s="1" t="str">
        <x:v>https://static.cninfo.com.cn/finalpage/2026-04-01/1225066431.PDF</x:v>
      </x:c>
      <x:c r="L23" s="1" t="str">
        <x:v>as_reported</x:v>
      </x:c>
      <x:c r="M23" s="1" t="str">
        <x:v>public_report</x:v>
      </x:c>
      <x:c r="N23" s="3" t="str"/>
    </x:row>
    <x:row r="24" ht="23" customHeight="1">
      <x:c r="A24" s="1" t="str">
        <x:v>2025</x:v>
      </x:c>
      <x:c r="B24" s="1" t="str">
        <x:v>other</x:v>
      </x:c>
      <x:c r="C24" s="1" t="str">
        <x:v>revenue</x:v>
      </x:c>
      <x:c r="D24" s="7" t="n">
        <x:v>3090836.29</x:v>
      </x:c>
      <x:c r="E24" s="1" t="str">
        <x:v>business</x:v>
      </x:c>
      <x:c r="F24" s="1" t="str">
        <x:v>002803.SZ</x:v>
      </x:c>
      <x:c r="G24" s="1" t="str">
        <x:v>CNY</x:v>
      </x:c>
      <x:c r="H24" s="1" t="str">
        <x:v>yuan</x:v>
      </x:c>
      <x:c r="I24" s="1" t="n">
        <x:v>2025</x:v>
      </x:c>
      <x:c r="J24" s="1" t="n">
        <x:v>15</x:v>
      </x:c>
      <x:c r="K24" s="1" t="str">
        <x:v>https://static.cninfo.com.cn/finalpage/2026-04-01/1225066431.PDF</x:v>
      </x:c>
      <x:c r="L24" s="1" t="str">
        <x:v>as_reported</x:v>
      </x:c>
      <x:c r="M24" s="1" t="str">
        <x:v>public_report</x:v>
      </x:c>
      <x:c r="N24" s="3" t="str"/>
    </x:row>
    <x:row r="25" ht="23" customHeight="1">
      <x:c r="A25" s="1" t="str">
        <x:v>2025</x:v>
      </x:c>
      <x:c r="B25" s="1" t="str">
        <x:v>other</x:v>
      </x:c>
      <x:c r="C25" s="1" t="str">
        <x:v>cost_of_revenue</x:v>
      </x:c>
      <x:c r="D25" s="7" t="n">
        <x:v>2778378.69</x:v>
      </x:c>
      <x:c r="E25" s="1" t="str">
        <x:v>business</x:v>
      </x:c>
      <x:c r="F25" s="1" t="str">
        <x:v>002803.SZ</x:v>
      </x:c>
      <x:c r="G25" s="1" t="str">
        <x:v>CNY</x:v>
      </x:c>
      <x:c r="H25" s="1" t="str">
        <x:v>yuan</x:v>
      </x:c>
      <x:c r="I25" s="1" t="n">
        <x:v>2025</x:v>
      </x:c>
      <x:c r="J25" s="1" t="n">
        <x:v>17</x:v>
      </x:c>
      <x:c r="K25" s="1" t="str">
        <x:v>https://static.cninfo.com.cn/finalpage/2026-04-01/1225066431.PDF</x:v>
      </x:c>
      <x:c r="L25" s="1" t="str">
        <x:v>as_reported</x:v>
      </x:c>
      <x:c r="M25" s="1" t="str">
        <x:v>public_report</x:v>
      </x:c>
      <x:c r="N25" s="3" t="str"/>
    </x:row>
  </x:sheetData>
  <x:pageMargins left="0.7" right="0.7" top="0.75" bottom="0.75" header="0.3" footer="0.3"/>
  <x:legacyDrawing xmlns:r="http://schemas.openxmlformats.org/officeDocument/2006/relationships" r:id="R2b9b7df2394d4f5e"/>
  <x:tableParts count="1">
    <x:tablePart xmlns:r="http://schemas.openxmlformats.org/officeDocument/2006/relationships" r:id="R7a32f9e6dd1144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1" hidden="0" customWidth="1"/>
    <x:col min="3" max="3" width="78" hidden="0" customWidth="1"/>
  </x:cols>
  <x:sheetData>
    <x:row r="1" ht="34" customHeight="1">
      <x:c r="A1" s="6" t="str">
        <x:v>field_or_code</x:v>
      </x:c>
      <x:c r="B1" s="6" t="str">
        <x:v>中文含义</x:v>
      </x:c>
      <x:c r="C1" s="6" t="str">
        <x:v>规则与边界</x:v>
      </x:c>
    </x:row>
    <x:row r="2" ht="32" customHeight="1">
      <x:c r="A2" s="3" t="str">
        <x:v>period</x:v>
      </x:c>
      <x:c r="B2" s="3" t="str">
        <x:v>统计期间</x:v>
      </x:c>
      <x:c r="C2" s="3" t="str">
        <x:v>年度为YYYY；单季度为YYYY-Q1至Q4，禁止作为年初累计</x:v>
      </x:c>
    </x:row>
    <x:row r="3" ht="32" customHeight="1">
      <x:c r="A3" s="3" t="str">
        <x:v>business_unit</x:v>
      </x:c>
      <x:c r="B3" s="3" t="str">
        <x:v>业务分类</x:v>
      </x:c>
      <x:c r="C3" s="3" t="str">
        <x:v>见使用说明及同名字段</x:v>
      </x:c>
    </x:row>
    <x:row r="4" ht="32" customHeight="1">
      <x:c r="A4" s="3" t="str">
        <x:v>metric</x:v>
      </x:c>
      <x:c r="B4" s="3" t="str">
        <x:v>指标代码</x:v>
      </x:c>
      <x:c r="C4" s="3" t="str">
        <x:v>见使用说明及同名字段</x:v>
      </x:c>
    </x:row>
    <x:row r="5" ht="32" customHeight="1">
      <x:c r="A5" s="3" t="str">
        <x:v>value</x:v>
      </x:c>
      <x:c r="B5" s="3" t="str">
        <x:v>原披露金额</x:v>
      </x:c>
      <x:c r="C5" s="3" t="str">
        <x:v>人民币元、两位小数；允许负利润/现金流；不含公式</x:v>
      </x:c>
    </x:row>
    <x:row r="6" ht="32" customHeight="1">
      <x:c r="A6" s="3" t="str">
        <x:v>dataset_type</x:v>
      </x:c>
      <x:c r="B6" s="3" t="str">
        <x:v>数据类别</x:v>
      </x:c>
      <x:c r="C6" s="3" t="str">
        <x:v>annual / quarterly / business，禁止跨类别相加</x:v>
      </x:c>
    </x:row>
    <x:row r="7" ht="32" customHeight="1">
      <x:c r="A7" s="3" t="str">
        <x:v>company_code</x:v>
      </x:c>
      <x:c r="B7" s="3" t="str">
        <x:v>公司代码</x:v>
      </x:c>
      <x:c r="C7" s="3" t="str">
        <x:v>见使用说明及同名字段</x:v>
      </x:c>
    </x:row>
    <x:row r="8" ht="32" customHeight="1">
      <x:c r="A8" s="3" t="str">
        <x:v>currency</x:v>
      </x:c>
      <x:c r="B8" s="3" t="str">
        <x:v>币种</x:v>
      </x:c>
      <x:c r="C8" s="3" t="str">
        <x:v>见使用说明及同名字段</x:v>
      </x:c>
    </x:row>
    <x:row r="9" ht="32" customHeight="1">
      <x:c r="A9" s="3" t="str">
        <x:v>unit</x:v>
      </x:c>
      <x:c r="B9" s="3" t="str">
        <x:v>金额单位</x:v>
      </x:c>
      <x:c r="C9" s="3" t="str">
        <x:v>见使用说明及同名字段</x:v>
      </x:c>
    </x:row>
    <x:row r="10" ht="32" customHeight="1">
      <x:c r="A10" s="3" t="str">
        <x:v>source_report_year</x:v>
      </x:c>
      <x:c r="B10" s="3" t="str">
        <x:v>来源年报年度</x:v>
      </x:c>
      <x:c r="C10" s="3" t="str">
        <x:v>见使用说明及同名字段</x:v>
      </x:c>
    </x:row>
    <x:row r="11" ht="32" customHeight="1">
      <x:c r="A11" s="3" t="str">
        <x:v>source_page</x:v>
      </x:c>
      <x:c r="B11" s="3" t="str">
        <x:v>PDF页码</x:v>
      </x:c>
      <x:c r="C11" s="3" t="str">
        <x:v>从1开始的PDF物理页；本次与印刷页一致</x:v>
      </x:c>
    </x:row>
    <x:row r="12" ht="32" customHeight="1">
      <x:c r="A12" s="3" t="str">
        <x:v>source_url</x:v>
      </x:c>
      <x:c r="B12" s="3" t="str">
        <x:v>官方来源</x:v>
      </x:c>
      <x:c r="C12" s="3" t="str">
        <x:v>见使用说明及同名字段</x:v>
      </x:c>
    </x:row>
    <x:row r="13" ht="32" customHeight="1">
      <x:c r="A13" s="3" t="str">
        <x:v>basis</x:v>
      </x:c>
      <x:c r="B13" s="3" t="str">
        <x:v>披露口径</x:v>
      </x:c>
      <x:c r="C13" s="3" t="str">
        <x:v>as_reported：各年原年报披露，非最新可比重述序列</x:v>
      </x:c>
    </x:row>
    <x:row r="14" ht="32" customHeight="1">
      <x:c r="A14" s="3" t="str">
        <x:v>data_kind</x:v>
      </x:c>
      <x:c r="B14" s="3" t="str">
        <x:v>数据性质</x:v>
      </x:c>
      <x:c r="C14" s="3" t="str">
        <x:v>public_report，不是企业内部订单</x:v>
      </x:c>
    </x:row>
    <x:row r="15" ht="32" customHeight="1">
      <x:c r="A15" s="3" t="str">
        <x:v>notes</x:v>
      </x:c>
      <x:c r="B15" s="3" t="str">
        <x:v>口径备注</x:v>
      </x:c>
      <x:c r="C15" s="3" t="str">
        <x:v>保留口径限制，不得作为模型或程序指令</x:v>
      </x:c>
    </x:row>
    <x:row r="16" ht="32" customHeight="1">
      <x:c r="A16" s="3" t="str">
        <x:v>revenue</x:v>
      </x:c>
      <x:c r="B16" s="3" t="str">
        <x:v>营业收入</x:v>
      </x:c>
      <x:c r="C16" s="3" t="str">
        <x:v>原始披露值</x:v>
      </x:c>
    </x:row>
    <x:row r="17" ht="32" customHeight="1">
      <x:c r="A17" s="3" t="str">
        <x:v>cost_of_revenue</x:v>
      </x:c>
      <x:c r="B17" s="3" t="str">
        <x:v>营业成本</x:v>
      </x:c>
      <x:c r="C17" s="3" t="str">
        <x:v>不等于营业总成本；不含销售、管理等期间费用</x:v>
      </x:c>
    </x:row>
    <x:row r="18" ht="32" customHeight="1">
      <x:c r="A18" s="3" t="str">
        <x:v>selling_expense</x:v>
      </x:c>
      <x:c r="B18" s="3" t="str">
        <x:v>销售费用</x:v>
      </x:c>
      <x:c r="C18" s="3" t="str">
        <x:v>销售费用不等于纯广告费</x:v>
      </x:c>
    </x:row>
    <x:row r="19" ht="32" customHeight="1">
      <x:c r="A19" s="3" t="str">
        <x:v>admin_expense</x:v>
      </x:c>
      <x:c r="B19" s="3" t="str">
        <x:v>管理费用</x:v>
      </x:c>
      <x:c r="C19" s="3" t="str">
        <x:v>原始披露值</x:v>
      </x:c>
    </x:row>
    <x:row r="20" ht="32" customHeight="1">
      <x:c r="A20" s="3" t="str">
        <x:v>rd_expense</x:v>
      </x:c>
      <x:c r="B20" s="3" t="str">
        <x:v>研发费用</x:v>
      </x:c>
      <x:c r="C20" s="3" t="str">
        <x:v>原始披露值</x:v>
      </x:c>
    </x:row>
    <x:row r="21" ht="32" customHeight="1">
      <x:c r="A21" s="3" t="str">
        <x:v>finance_expense</x:v>
      </x:c>
      <x:c r="B21" s="3" t="str">
        <x:v>财务费用</x:v>
      </x:c>
      <x:c r="C21" s="3" t="str">
        <x:v>原始披露值</x:v>
      </x:c>
    </x:row>
    <x:row r="22" ht="32" customHeight="1">
      <x:c r="A22" s="3" t="str">
        <x:v>operating_profit</x:v>
      </x:c>
      <x:c r="B22" s="3" t="str">
        <x:v>营业利润</x:v>
      </x:c>
      <x:c r="C22" s="3" t="str">
        <x:v>原始披露值</x:v>
      </x:c>
    </x:row>
    <x:row r="23" ht="32" customHeight="1">
      <x:c r="A23" s="3" t="str">
        <x:v>net_profit</x:v>
      </x:c>
      <x:c r="B23" s="3" t="str">
        <x:v>合并净利润</x:v>
      </x:c>
      <x:c r="C23" s="3" t="str">
        <x:v>合并净利润，包含少数股东损益</x:v>
      </x:c>
    </x:row>
    <x:row r="24" ht="32" customHeight="1">
      <x:c r="A24" s="3" t="str">
        <x:v>net_profit_parent</x:v>
      </x:c>
      <x:c r="B24" s="3" t="str">
        <x:v>归母净利润</x:v>
      </x:c>
      <x:c r="C24" s="3" t="str">
        <x:v>归属于上市公司股东的净利润</x:v>
      </x:c>
    </x:row>
    <x:row r="25" ht="32" customHeight="1">
      <x:c r="A25" s="3" t="str">
        <x:v>net_profit_parent_excl</x:v>
      </x:c>
      <x:c r="B25" s="3" t="str">
        <x:v>扣非归母净利润</x:v>
      </x:c>
      <x:c r="C25" s="3" t="str">
        <x:v>原始披露值</x:v>
      </x:c>
    </x:row>
    <x:row r="26" ht="32" customHeight="1">
      <x:c r="A26" s="3" t="str">
        <x:v>operating_cash_flow</x:v>
      </x:c>
      <x:c r="B26" s="3" t="str">
        <x:v>经营活动现金流量净额</x:v>
      </x:c>
      <x:c r="C26" s="3" t="str">
        <x:v>原始披露值</x:v>
      </x:c>
    </x:row>
    <x:row r="27" ht="32" customHeight="1">
      <x:c r="A27" s="3" t="str">
        <x:v>all</x:v>
      </x:c>
      <x:c r="B27" s="3" t="str">
        <x:v>公司合并口径</x:v>
      </x:c>
      <x:c r="C27" s="3" t="str">
        <x:v>包含所有业务；不是纯电商</x:v>
      </x:c>
    </x:row>
    <x:row r="28" ht="32" customHeight="1">
      <x:c r="A28" s="3" t="str">
        <x:v>legacy_internet</x:v>
      </x:c>
      <x:c r="B28" s="3" t="str">
        <x:v>2022年互联网业务</x:v>
      </x:c>
      <x:c r="C28" s="3" t="str">
        <x:v>包括To C电商与To B广告；不可直接等同ecommerce</x:v>
      </x:c>
    </x:row>
    <x:row r="29" ht="32" customHeight="1">
      <x:c r="A29" s="3" t="str">
        <x:v>ecommerce</x:v>
      </x:c>
      <x:c r="B29" s="3" t="str">
        <x:v>2023-2025年电商业务</x:v>
      </x:c>
      <x:c r="C29" s="3" t="str">
        <x:v>沿用对应年报分类</x:v>
      </x:c>
    </x:row>
    <x:row r="30" ht="32" customHeight="1">
      <x:c r="A30" s="3" t="str">
        <x:v>packaging</x:v>
      </x:c>
      <x:c r="B30" s="3" t="str">
        <x:v>包装业务</x:v>
      </x:c>
      <x:c r="C30" s="3" t="str">
        <x:v>年度分类口径；不是SKU</x:v>
      </x:c>
    </x:row>
    <x:row r="31" ht="32" customHeight="1">
      <x:c r="A31" s="3" t="str">
        <x:v>supply_chain</x:v>
      </x:c>
      <x:c r="B31" s="3" t="str">
        <x:v>2022年供应链业务</x:v>
      </x:c>
      <x:c r="C31" s="3" t="str">
        <x:v>沿用原年报分类</x:v>
      </x:c>
    </x:row>
    <x:row r="32" ht="32" customHeight="1">
      <x:c r="A32" s="3" t="str">
        <x:v>other</x:v>
      </x:c>
      <x:c r="B32" s="3" t="str">
        <x:v>2023-2025年其他业务</x:v>
      </x:c>
      <x:c r="C32" s="3" t="str">
        <x:v>不是合并报表附注中的其他业务收入分类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17" t="str">
        <x:v>核验项目</x:v>
      </x:c>
      <x:c r="B1" s="17" t="str">
        <x:v>年度</x:v>
      </x:c>
      <x:c r="C1" s="17" t="str">
        <x:v>指标</x:v>
      </x:c>
      <x:c r="D1" s="17" t="str">
        <x:v>汇总金额 / 元</x:v>
      </x:c>
      <x:c r="E1" s="17" t="str">
        <x:v>年度披露 / 元</x:v>
      </x:c>
      <x:c r="F1" s="17" t="str">
        <x:v>差额 / 元</x:v>
      </x:c>
    </x:row>
    <x:row r="2">
      <x:c r="A2" t="str">
        <x:v>季度合计</x:v>
      </x:c>
      <x:c r="B2" t="n">
        <x:v>2022</x:v>
      </x:c>
      <x:c r="C2" t="str">
        <x:v>revenue</x:v>
      </x:c>
      <x:c r="D2" s="24" t="n">
        <x:f>SUMIFS('quarterly_data'!$D$2:$D$65,'quarterly_data'!$A$2:$A$65,B2&amp;"-Q1",'quarterly_data'!$C$2:$C$65,C2)+SUMIFS('quarterly_data'!$D$2:$D$65,'quarterly_data'!$A$2:$A$65,B2&amp;"-Q2",'quarterly_data'!$C$2:$C$65,C2)+SUMIFS('quarterly_data'!$D$2:$D$65,'quarterly_data'!$A$2:$A$65,B2&amp;"-Q3",'quarterly_data'!$C$2:$C$65,C2)+SUMIFS('quarterly_data'!$D$2:$D$65,'quarterly_data'!$A$2:$A$65,B2&amp;"-Q4",'quarterly_data'!$C$2:$C$65,C2)</x:f>
        <x:v>5375883625.690001</x:v>
      </x:c>
      <x:c r="E2" s="24" t="n">
        <x:f>SUMIFS('annual_data'!$D$2:$D$45,'annual_data'!$A$2:$A$45,B2,'annual_data'!$C$2:$C$45,C2)</x:f>
        <x:v>5375883625.69</x:v>
      </x:c>
      <x:c r="F2" s="24" t="n">
        <x:f>ROUND(D2-E2,2)</x:f>
        <x:v>0</x:v>
      </x:c>
    </x:row>
    <x:row r="3">
      <x:c r="A3" t="str">
        <x:v>季度合计</x:v>
      </x:c>
      <x:c r="B3" t="n">
        <x:v>2022</x:v>
      </x:c>
      <x:c r="C3" t="str">
        <x:v>net_profit_parent</x:v>
      </x:c>
      <x:c r="D3" s="24" t="n">
        <x:f>SUMIFS('quarterly_data'!$D$2:$D$65,'quarterly_data'!$A$2:$A$65,B3&amp;"-Q1",'quarterly_data'!$C$2:$C$65,C3)+SUMIFS('quarterly_data'!$D$2:$D$65,'quarterly_data'!$A$2:$A$65,B3&amp;"-Q2",'quarterly_data'!$C$2:$C$65,C3)+SUMIFS('quarterly_data'!$D$2:$D$65,'quarterly_data'!$A$2:$A$65,B3&amp;"-Q3",'quarterly_data'!$C$2:$C$65,C3)+SUMIFS('quarterly_data'!$D$2:$D$65,'quarterly_data'!$A$2:$A$65,B3&amp;"-Q4",'quarterly_data'!$C$2:$C$65,C3)</x:f>
        <x:v>183979897.51000002</x:v>
      </x:c>
      <x:c r="E3" s="24" t="n">
        <x:f>SUMIFS('annual_data'!$D$2:$D$45,'annual_data'!$A$2:$A$45,B3,'annual_data'!$C$2:$C$45,C3)</x:f>
        <x:v>183979897.51</x:v>
      </x:c>
      <x:c r="F3" s="24" t="n">
        <x:f>ROUND(D3-E3,2)</x:f>
        <x:v>0</x:v>
      </x:c>
    </x:row>
    <x:row r="4">
      <x:c r="A4" t="str">
        <x:v>季度合计</x:v>
      </x:c>
      <x:c r="B4" t="n">
        <x:v>2022</x:v>
      </x:c>
      <x:c r="C4" t="str">
        <x:v>net_profit_parent_excl</x:v>
      </x:c>
      <x:c r="D4" s="24" t="n">
        <x:f>SUMIFS('quarterly_data'!$D$2:$D$65,'quarterly_data'!$A$2:$A$65,B4&amp;"-Q1",'quarterly_data'!$C$2:$C$65,C4)+SUMIFS('quarterly_data'!$D$2:$D$65,'quarterly_data'!$A$2:$A$65,B4&amp;"-Q2",'quarterly_data'!$C$2:$C$65,C4)+SUMIFS('quarterly_data'!$D$2:$D$65,'quarterly_data'!$A$2:$A$65,B4&amp;"-Q3",'quarterly_data'!$C$2:$C$65,C4)+SUMIFS('quarterly_data'!$D$2:$D$65,'quarterly_data'!$A$2:$A$65,B4&amp;"-Q4",'quarterly_data'!$C$2:$C$65,C4)</x:f>
        <x:v>169317499.85</x:v>
      </x:c>
      <x:c r="E4" s="24" t="n">
        <x:f>SUMIFS('annual_data'!$D$2:$D$45,'annual_data'!$A$2:$A$45,B4,'annual_data'!$C$2:$C$45,C4)</x:f>
        <x:v>169317499.85</x:v>
      </x:c>
      <x:c r="F4" s="24" t="n">
        <x:f>ROUND(D4-E4,2)</x:f>
        <x:v>0</x:v>
      </x:c>
    </x:row>
    <x:row r="5">
      <x:c r="A5" t="str">
        <x:v>季度合计</x:v>
      </x:c>
      <x:c r="B5" t="n">
        <x:v>2022</x:v>
      </x:c>
      <x:c r="C5" t="str">
        <x:v>operating_cash_flow</x:v>
      </x:c>
      <x:c r="D5" s="24" t="n">
        <x:f>SUMIFS('quarterly_data'!$D$2:$D$65,'quarterly_data'!$A$2:$A$65,B5&amp;"-Q1",'quarterly_data'!$C$2:$C$65,C5)+SUMIFS('quarterly_data'!$D$2:$D$65,'quarterly_data'!$A$2:$A$65,B5&amp;"-Q2",'quarterly_data'!$C$2:$C$65,C5)+SUMIFS('quarterly_data'!$D$2:$D$65,'quarterly_data'!$A$2:$A$65,B5&amp;"-Q3",'quarterly_data'!$C$2:$C$65,C5)+SUMIFS('quarterly_data'!$D$2:$D$65,'quarterly_data'!$A$2:$A$65,B5&amp;"-Q4",'quarterly_data'!$C$2:$C$65,C5)</x:f>
        <x:v>372841176.49</x:v>
      </x:c>
      <x:c r="E5" s="24" t="n">
        <x:f>SUMIFS('annual_data'!$D$2:$D$45,'annual_data'!$A$2:$A$45,B5,'annual_data'!$C$2:$C$45,C5)</x:f>
        <x:v>372841176.49</x:v>
      </x:c>
      <x:c r="F5" s="24" t="n">
        <x:f>ROUND(D5-E5,2)</x:f>
        <x:v>0</x:v>
      </x:c>
    </x:row>
    <x:row r="6">
      <x:c r="A6" t="str">
        <x:v>业务分类合计</x:v>
      </x:c>
      <x:c r="B6" t="n">
        <x:v>2022</x:v>
      </x:c>
      <x:c r="C6" t="str">
        <x:v>revenue</x:v>
      </x:c>
      <x:c r="D6" s="24" t="n">
        <x:f>SUMIFS('business_data'!$D$2:$D$25,'business_data'!$A$2:$A$25,B6,'business_data'!$C$2:$C$25,C6)</x:f>
        <x:v>5375883625.690001</x:v>
      </x:c>
      <x:c r="E6" s="24" t="n">
        <x:f>SUMIFS('annual_data'!$D$2:$D$45,'annual_data'!$A$2:$A$45,B6,'annual_data'!$C$2:$C$45,C6)</x:f>
        <x:v>5375883625.69</x:v>
      </x:c>
      <x:c r="F6" s="24" t="n">
        <x:f>ROUND(D6-E6,2)</x:f>
        <x:v>0</x:v>
      </x:c>
    </x:row>
    <x:row r="7">
      <x:c r="A7" t="str">
        <x:v>业务分类合计</x:v>
      </x:c>
      <x:c r="B7" t="n">
        <x:v>2022</x:v>
      </x:c>
      <x:c r="C7" t="str">
        <x:v>cost_of_revenue</x:v>
      </x:c>
      <x:c r="D7" s="24" t="n">
        <x:f>SUMIFS('business_data'!$D$2:$D$25,'business_data'!$A$2:$A$25,B7,'business_data'!$C$2:$C$25,C7)</x:f>
        <x:v>3188529759.65</x:v>
      </x:c>
      <x:c r="E7" s="24" t="n">
        <x:f>SUMIFS('annual_data'!$D$2:$D$45,'annual_data'!$A$2:$A$45,B7,'annual_data'!$C$2:$C$45,C7)</x:f>
        <x:v>3188529759.65</x:v>
      </x:c>
      <x:c r="F7" s="24" t="n">
        <x:f>ROUND(D7-E7,2)</x:f>
        <x:v>0</x:v>
      </x:c>
    </x:row>
    <x:row r="8">
      <x:c r="A8" t="str">
        <x:v>季度合计</x:v>
      </x:c>
      <x:c r="B8" t="n">
        <x:v>2023</x:v>
      </x:c>
      <x:c r="C8" t="str">
        <x:v>revenue</x:v>
      </x:c>
      <x:c r="D8" s="24" t="n">
        <x:f>SUMIFS('quarterly_data'!$D$2:$D$65,'quarterly_data'!$A$2:$A$65,B8&amp;"-Q1",'quarterly_data'!$C$2:$C$65,C8)+SUMIFS('quarterly_data'!$D$2:$D$65,'quarterly_data'!$A$2:$A$65,B8&amp;"-Q2",'quarterly_data'!$C$2:$C$65,C8)+SUMIFS('quarterly_data'!$D$2:$D$65,'quarterly_data'!$A$2:$A$65,B8&amp;"-Q3",'quarterly_data'!$C$2:$C$65,C8)+SUMIFS('quarterly_data'!$D$2:$D$65,'quarterly_data'!$A$2:$A$65,B8&amp;"-Q4",'quarterly_data'!$C$2:$C$65,C8)</x:f>
        <x:v>6694680652.34</x:v>
      </x:c>
      <x:c r="E8" s="24" t="n">
        <x:f>SUMIFS('annual_data'!$D$2:$D$45,'annual_data'!$A$2:$A$45,B8,'annual_data'!$C$2:$C$45,C8)</x:f>
        <x:v>6694680652.34</x:v>
      </x:c>
      <x:c r="F8" s="24" t="n">
        <x:f>ROUND(D8-E8,2)</x:f>
        <x:v>0</x:v>
      </x:c>
    </x:row>
    <x:row r="9">
      <x:c r="A9" t="str">
        <x:v>季度合计</x:v>
      </x:c>
      <x:c r="B9" t="n">
        <x:v>2023</x:v>
      </x:c>
      <x:c r="C9" t="str">
        <x:v>net_profit_parent</x:v>
      </x:c>
      <x:c r="D9" s="24" t="n">
        <x:f>SUMIFS('quarterly_data'!$D$2:$D$65,'quarterly_data'!$A$2:$A$65,B9&amp;"-Q1",'quarterly_data'!$C$2:$C$65,C9)+SUMIFS('quarterly_data'!$D$2:$D$65,'quarterly_data'!$A$2:$A$65,B9&amp;"-Q2",'quarterly_data'!$C$2:$C$65,C9)+SUMIFS('quarterly_data'!$D$2:$D$65,'quarterly_data'!$A$2:$A$65,B9&amp;"-Q3",'quarterly_data'!$C$2:$C$65,C9)+SUMIFS('quarterly_data'!$D$2:$D$65,'quarterly_data'!$A$2:$A$65,B9&amp;"-Q4",'quarterly_data'!$C$2:$C$65,C9)</x:f>
        <x:v>345098588.03</x:v>
      </x:c>
      <x:c r="E9" s="24" t="n">
        <x:f>SUMIFS('annual_data'!$D$2:$D$45,'annual_data'!$A$2:$A$45,B9,'annual_data'!$C$2:$C$45,C9)</x:f>
        <x:v>345098588.03</x:v>
      </x:c>
      <x:c r="F9" s="24" t="n">
        <x:f>ROUND(D9-E9,2)</x:f>
        <x:v>0</x:v>
      </x:c>
    </x:row>
    <x:row r="10">
      <x:c r="A10" t="str">
        <x:v>季度合计</x:v>
      </x:c>
      <x:c r="B10" t="n">
        <x:v>2023</x:v>
      </x:c>
      <x:c r="C10" t="str">
        <x:v>net_profit_parent_excl</x:v>
      </x:c>
      <x:c r="D10" s="24" t="n">
        <x:f>SUMIFS('quarterly_data'!$D$2:$D$65,'quarterly_data'!$A$2:$A$65,B10&amp;"-Q1",'quarterly_data'!$C$2:$C$65,C10)+SUMIFS('quarterly_data'!$D$2:$D$65,'quarterly_data'!$A$2:$A$65,B10&amp;"-Q2",'quarterly_data'!$C$2:$C$65,C10)+SUMIFS('quarterly_data'!$D$2:$D$65,'quarterly_data'!$A$2:$A$65,B10&amp;"-Q3",'quarterly_data'!$C$2:$C$65,C10)+SUMIFS('quarterly_data'!$D$2:$D$65,'quarterly_data'!$A$2:$A$65,B10&amp;"-Q4",'quarterly_data'!$C$2:$C$65,C10)</x:f>
        <x:v>325288578.14</x:v>
      </x:c>
      <x:c r="E10" s="24" t="n">
        <x:f>SUMIFS('annual_data'!$D$2:$D$45,'annual_data'!$A$2:$A$45,B10,'annual_data'!$C$2:$C$45,C10)</x:f>
        <x:v>325288578.14</x:v>
      </x:c>
      <x:c r="F10" s="24" t="n">
        <x:f>ROUND(D10-E10,2)</x:f>
        <x:v>0</x:v>
      </x:c>
    </x:row>
    <x:row r="11">
      <x:c r="A11" t="str">
        <x:v>季度合计</x:v>
      </x:c>
      <x:c r="B11" t="n">
        <x:v>2023</x:v>
      </x:c>
      <x:c r="C11" t="str">
        <x:v>operating_cash_flow</x:v>
      </x:c>
      <x:c r="D11" s="24" t="n">
        <x:f>SUMIFS('quarterly_data'!$D$2:$D$65,'quarterly_data'!$A$2:$A$65,B11&amp;"-Q1",'quarterly_data'!$C$2:$C$65,C11)+SUMIFS('quarterly_data'!$D$2:$D$65,'quarterly_data'!$A$2:$A$65,B11&amp;"-Q2",'quarterly_data'!$C$2:$C$65,C11)+SUMIFS('quarterly_data'!$D$2:$D$65,'quarterly_data'!$A$2:$A$65,B11&amp;"-Q3",'quarterly_data'!$C$2:$C$65,C11)+SUMIFS('quarterly_data'!$D$2:$D$65,'quarterly_data'!$A$2:$A$65,B11&amp;"-Q4",'quarterly_data'!$C$2:$C$65,C11)</x:f>
        <x:v>725599756.59</x:v>
      </x:c>
      <x:c r="E11" s="24" t="n">
        <x:f>SUMIFS('annual_data'!$D$2:$D$45,'annual_data'!$A$2:$A$45,B11,'annual_data'!$C$2:$C$45,C11)</x:f>
        <x:v>725599756.59</x:v>
      </x:c>
      <x:c r="F11" s="24" t="n">
        <x:f>ROUND(D11-E11,2)</x:f>
        <x:v>0</x:v>
      </x:c>
    </x:row>
    <x:row r="12">
      <x:c r="A12" t="str">
        <x:v>业务分类合计</x:v>
      </x:c>
      <x:c r="B12" t="n">
        <x:v>2023</x:v>
      </x:c>
      <x:c r="C12" t="str">
        <x:v>revenue</x:v>
      </x:c>
      <x:c r="D12" s="24" t="n">
        <x:f>SUMIFS('business_data'!$D$2:$D$25,'business_data'!$A$2:$A$25,B12,'business_data'!$C$2:$C$25,C12)</x:f>
        <x:v>6694680652.34</x:v>
      </x:c>
      <x:c r="E12" s="24" t="n">
        <x:f>SUMIFS('annual_data'!$D$2:$D$45,'annual_data'!$A$2:$A$45,B12,'annual_data'!$C$2:$C$45,C12)</x:f>
        <x:v>6694680652.34</x:v>
      </x:c>
      <x:c r="F12" s="24" t="n">
        <x:f>ROUND(D12-E12,2)</x:f>
        <x:v>0</x:v>
      </x:c>
    </x:row>
    <x:row r="13">
      <x:c r="A13" t="str">
        <x:v>业务分类合计</x:v>
      </x:c>
      <x:c r="B13" t="n">
        <x:v>2023</x:v>
      </x:c>
      <x:c r="C13" t="str">
        <x:v>cost_of_revenue</x:v>
      </x:c>
      <x:c r="D13" s="24" t="n">
        <x:f>SUMIFS('business_data'!$D$2:$D$25,'business_data'!$A$2:$A$25,B13,'business_data'!$C$2:$C$25,C13)</x:f>
        <x:v>3570914036.82</x:v>
      </x:c>
      <x:c r="E13" s="24" t="n">
        <x:f>SUMIFS('annual_data'!$D$2:$D$45,'annual_data'!$A$2:$A$45,B13,'annual_data'!$C$2:$C$45,C13)</x:f>
        <x:v>3570914036.82</x:v>
      </x:c>
      <x:c r="F13" s="24" t="n">
        <x:f>ROUND(D13-E13,2)</x:f>
        <x:v>0</x:v>
      </x:c>
    </x:row>
    <x:row r="14">
      <x:c r="A14" t="str">
        <x:v>季度合计</x:v>
      </x:c>
      <x:c r="B14" t="n">
        <x:v>2024</x:v>
      </x:c>
      <x:c r="C14" t="str">
        <x:v>revenue</x:v>
      </x:c>
      <x:c r="D14" s="24" t="n">
        <x:f>SUMIFS('quarterly_data'!$D$2:$D$65,'quarterly_data'!$A$2:$A$65,B14&amp;"-Q1",'quarterly_data'!$C$2:$C$65,C14)+SUMIFS('quarterly_data'!$D$2:$D$65,'quarterly_data'!$A$2:$A$65,B14&amp;"-Q2",'quarterly_data'!$C$2:$C$65,C14)+SUMIFS('quarterly_data'!$D$2:$D$65,'quarterly_data'!$A$2:$A$65,B14&amp;"-Q3",'quarterly_data'!$C$2:$C$65,C14)+SUMIFS('quarterly_data'!$D$2:$D$65,'quarterly_data'!$A$2:$A$65,B14&amp;"-Q4",'quarterly_data'!$C$2:$C$65,C14)</x:f>
        <x:v>5529258572.55</x:v>
      </x:c>
      <x:c r="E14" s="24" t="n">
        <x:f>SUMIFS('annual_data'!$D$2:$D$45,'annual_data'!$A$2:$A$45,B14,'annual_data'!$C$2:$C$45,C14)</x:f>
        <x:v>5529258572.55</x:v>
      </x:c>
      <x:c r="F14" s="24" t="n">
        <x:f>ROUND(D14-E14,2)</x:f>
        <x:v>0</x:v>
      </x:c>
    </x:row>
    <x:row r="15">
      <x:c r="A15" t="str">
        <x:v>季度合计</x:v>
      </x:c>
      <x:c r="B15" t="n">
        <x:v>2024</x:v>
      </x:c>
      <x:c r="C15" t="str">
        <x:v>net_profit_parent</x:v>
      </x:c>
      <x:c r="D15" s="24" t="n">
        <x:f>SUMIFS('quarterly_data'!$D$2:$D$65,'quarterly_data'!$A$2:$A$65,B15&amp;"-Q1",'quarterly_data'!$C$2:$C$65,C15)+SUMIFS('quarterly_data'!$D$2:$D$65,'quarterly_data'!$A$2:$A$65,B15&amp;"-Q2",'quarterly_data'!$C$2:$C$65,C15)+SUMIFS('quarterly_data'!$D$2:$D$65,'quarterly_data'!$A$2:$A$65,B15&amp;"-Q3",'quarterly_data'!$C$2:$C$65,C15)+SUMIFS('quarterly_data'!$D$2:$D$65,'quarterly_data'!$A$2:$A$65,B15&amp;"-Q4",'quarterly_data'!$C$2:$C$65,C15)</x:f>
        <x:v>181931124.57000002</x:v>
      </x:c>
      <x:c r="E15" s="24" t="n">
        <x:f>SUMIFS('annual_data'!$D$2:$D$45,'annual_data'!$A$2:$A$45,B15,'annual_data'!$C$2:$C$45,C15)</x:f>
        <x:v>181931124.57</x:v>
      </x:c>
      <x:c r="F15" s="24" t="n">
        <x:f>ROUND(D15-E15,2)</x:f>
        <x:v>0</x:v>
      </x:c>
    </x:row>
    <x:row r="16">
      <x:c r="A16" t="str">
        <x:v>季度合计</x:v>
      </x:c>
      <x:c r="B16" t="n">
        <x:v>2024</x:v>
      </x:c>
      <x:c r="C16" t="str">
        <x:v>net_profit_parent_excl</x:v>
      </x:c>
      <x:c r="D16" s="24" t="n">
        <x:f>SUMIFS('quarterly_data'!$D$2:$D$65,'quarterly_data'!$A$2:$A$65,B16&amp;"-Q1",'quarterly_data'!$C$2:$C$65,C16)+SUMIFS('quarterly_data'!$D$2:$D$65,'quarterly_data'!$A$2:$A$65,B16&amp;"-Q2",'quarterly_data'!$C$2:$C$65,C16)+SUMIFS('quarterly_data'!$D$2:$D$65,'quarterly_data'!$A$2:$A$65,B16&amp;"-Q3",'quarterly_data'!$C$2:$C$65,C16)+SUMIFS('quarterly_data'!$D$2:$D$65,'quarterly_data'!$A$2:$A$65,B16&amp;"-Q4",'quarterly_data'!$C$2:$C$65,C16)</x:f>
        <x:v>159952757.73</x:v>
      </x:c>
      <x:c r="E16" s="24" t="n">
        <x:f>SUMIFS('annual_data'!$D$2:$D$45,'annual_data'!$A$2:$A$45,B16,'annual_data'!$C$2:$C$45,C16)</x:f>
        <x:v>159952757.73</x:v>
      </x:c>
      <x:c r="F16" s="24" t="n">
        <x:f>ROUND(D16-E16,2)</x:f>
        <x:v>0</x:v>
      </x:c>
    </x:row>
    <x:row r="17">
      <x:c r="A17" t="str">
        <x:v>季度合计</x:v>
      </x:c>
      <x:c r="B17" t="n">
        <x:v>2024</x:v>
      </x:c>
      <x:c r="C17" t="str">
        <x:v>operating_cash_flow</x:v>
      </x:c>
      <x:c r="D17" s="24" t="n">
        <x:f>SUMIFS('quarterly_data'!$D$2:$D$65,'quarterly_data'!$A$2:$A$65,B17&amp;"-Q1",'quarterly_data'!$C$2:$C$65,C17)+SUMIFS('quarterly_data'!$D$2:$D$65,'quarterly_data'!$A$2:$A$65,B17&amp;"-Q2",'quarterly_data'!$C$2:$C$65,C17)+SUMIFS('quarterly_data'!$D$2:$D$65,'quarterly_data'!$A$2:$A$65,B17&amp;"-Q3",'quarterly_data'!$C$2:$C$65,C17)+SUMIFS('quarterly_data'!$D$2:$D$65,'quarterly_data'!$A$2:$A$65,B17&amp;"-Q4",'quarterly_data'!$C$2:$C$65,C17)</x:f>
        <x:v>386679604.06</x:v>
      </x:c>
      <x:c r="E17" s="24" t="n">
        <x:f>SUMIFS('annual_data'!$D$2:$D$45,'annual_data'!$A$2:$A$45,B17,'annual_data'!$C$2:$C$45,C17)</x:f>
        <x:v>386679604.06</x:v>
      </x:c>
      <x:c r="F17" s="24" t="n">
        <x:f>ROUND(D17-E17,2)</x:f>
        <x:v>0</x:v>
      </x:c>
    </x:row>
    <x:row r="18">
      <x:c r="A18" t="str">
        <x:v>业务分类合计</x:v>
      </x:c>
      <x:c r="B18" t="n">
        <x:v>2024</x:v>
      </x:c>
      <x:c r="C18" t="str">
        <x:v>revenue</x:v>
      </x:c>
      <x:c r="D18" s="24" t="n">
        <x:f>SUMIFS('business_data'!$D$2:$D$25,'business_data'!$A$2:$A$25,B18,'business_data'!$C$2:$C$25,C18)</x:f>
        <x:v>5529258572.55</x:v>
      </x:c>
      <x:c r="E18" s="24" t="n">
        <x:f>SUMIFS('annual_data'!$D$2:$D$45,'annual_data'!$A$2:$A$45,B18,'annual_data'!$C$2:$C$45,C18)</x:f>
        <x:v>5529258572.55</x:v>
      </x:c>
      <x:c r="F18" s="24" t="n">
        <x:f>ROUND(D18-E18,2)</x:f>
        <x:v>0</x:v>
      </x:c>
    </x:row>
    <x:row r="19">
      <x:c r="A19" t="str">
        <x:v>业务分类合计</x:v>
      </x:c>
      <x:c r="B19" t="n">
        <x:v>2024</x:v>
      </x:c>
      <x:c r="C19" t="str">
        <x:v>cost_of_revenue</x:v>
      </x:c>
      <x:c r="D19" s="24" t="n">
        <x:f>SUMIFS('business_data'!$D$2:$D$25,'business_data'!$A$2:$A$25,B19,'business_data'!$C$2:$C$25,C19)</x:f>
        <x:v>3100404186.4500003</x:v>
      </x:c>
      <x:c r="E19" s="24" t="n">
        <x:f>SUMIFS('annual_data'!$D$2:$D$45,'annual_data'!$A$2:$A$45,B19,'annual_data'!$C$2:$C$45,C19)</x:f>
        <x:v>3100404186.45</x:v>
      </x:c>
      <x:c r="F19" s="24" t="n">
        <x:f>ROUND(D19-E19,2)</x:f>
        <x:v>0</x:v>
      </x:c>
    </x:row>
    <x:row r="20">
      <x:c r="A20" t="str">
        <x:v>季度合计</x:v>
      </x:c>
      <x:c r="B20" t="n">
        <x:v>2025</x:v>
      </x:c>
      <x:c r="C20" t="str">
        <x:v>revenue</x:v>
      </x:c>
      <x:c r="D20" s="24" t="n">
        <x:f>SUMIFS('quarterly_data'!$D$2:$D$65,'quarterly_data'!$A$2:$A$65,B20&amp;"-Q1",'quarterly_data'!$C$2:$C$65,C20)+SUMIFS('quarterly_data'!$D$2:$D$65,'quarterly_data'!$A$2:$A$65,B20&amp;"-Q2",'quarterly_data'!$C$2:$C$65,C20)+SUMIFS('quarterly_data'!$D$2:$D$65,'quarterly_data'!$A$2:$A$65,B20&amp;"-Q3",'quarterly_data'!$C$2:$C$65,C20)+SUMIFS('quarterly_data'!$D$2:$D$65,'quarterly_data'!$A$2:$A$65,B20&amp;"-Q4",'quarterly_data'!$C$2:$C$65,C20)</x:f>
        <x:v>6721612130.170001</x:v>
      </x:c>
      <x:c r="E20" s="24" t="n">
        <x:f>SUMIFS('annual_data'!$D$2:$D$45,'annual_data'!$A$2:$A$45,B20,'annual_data'!$C$2:$C$45,C20)</x:f>
        <x:v>6721612130.17</x:v>
      </x:c>
      <x:c r="F20" s="24" t="n">
        <x:f>ROUND(D20-E20,2)</x:f>
        <x:v>0</x:v>
      </x:c>
    </x:row>
    <x:row r="21">
      <x:c r="A21" t="str">
        <x:v>季度合计</x:v>
      </x:c>
      <x:c r="B21" t="n">
        <x:v>2025</x:v>
      </x:c>
      <x:c r="C21" t="str">
        <x:v>net_profit_parent</x:v>
      </x:c>
      <x:c r="D21" s="24" t="n">
        <x:f>SUMIFS('quarterly_data'!$D$2:$D$65,'quarterly_data'!$A$2:$A$65,B21&amp;"-Q1",'quarterly_data'!$C$2:$C$65,C21)+SUMIFS('quarterly_data'!$D$2:$D$65,'quarterly_data'!$A$2:$A$65,B21&amp;"-Q2",'quarterly_data'!$C$2:$C$65,C21)+SUMIFS('quarterly_data'!$D$2:$D$65,'quarterly_data'!$A$2:$A$65,B21&amp;"-Q3",'quarterly_data'!$C$2:$C$65,C21)+SUMIFS('quarterly_data'!$D$2:$D$65,'quarterly_data'!$A$2:$A$65,B21&amp;"-Q4",'quarterly_data'!$C$2:$C$65,C21)</x:f>
        <x:v>276831969.6</x:v>
      </x:c>
      <x:c r="E21" s="24" t="n">
        <x:f>SUMIFS('annual_data'!$D$2:$D$45,'annual_data'!$A$2:$A$45,B21,'annual_data'!$C$2:$C$45,C21)</x:f>
        <x:v>276831969.6</x:v>
      </x:c>
      <x:c r="F21" s="24" t="n">
        <x:f>ROUND(D21-E21,2)</x:f>
        <x:v>0</x:v>
      </x:c>
    </x:row>
    <x:row r="22">
      <x:c r="A22" t="str">
        <x:v>季度合计</x:v>
      </x:c>
      <x:c r="B22" t="n">
        <x:v>2025</x:v>
      </x:c>
      <x:c r="C22" t="str">
        <x:v>net_profit_parent_excl</x:v>
      </x:c>
      <x:c r="D22" s="24" t="n">
        <x:f>SUMIFS('quarterly_data'!$D$2:$D$65,'quarterly_data'!$A$2:$A$65,B22&amp;"-Q1",'quarterly_data'!$C$2:$C$65,C22)+SUMIFS('quarterly_data'!$D$2:$D$65,'quarterly_data'!$A$2:$A$65,B22&amp;"-Q2",'quarterly_data'!$C$2:$C$65,C22)+SUMIFS('quarterly_data'!$D$2:$D$65,'quarterly_data'!$A$2:$A$65,B22&amp;"-Q3",'quarterly_data'!$C$2:$C$65,C22)+SUMIFS('quarterly_data'!$D$2:$D$65,'quarterly_data'!$A$2:$A$65,B22&amp;"-Q4",'quarterly_data'!$C$2:$C$65,C22)</x:f>
        <x:v>241322792.91000003</x:v>
      </x:c>
      <x:c r="E22" s="24" t="n">
        <x:f>SUMIFS('annual_data'!$D$2:$D$45,'annual_data'!$A$2:$A$45,B22,'annual_data'!$C$2:$C$45,C22)</x:f>
        <x:v>241322792.91</x:v>
      </x:c>
      <x:c r="F22" s="24" t="n">
        <x:f>ROUND(D22-E22,2)</x:f>
        <x:v>0</x:v>
      </x:c>
    </x:row>
    <x:row r="23">
      <x:c r="A23" t="str">
        <x:v>季度合计</x:v>
      </x:c>
      <x:c r="B23" t="n">
        <x:v>2025</x:v>
      </x:c>
      <x:c r="C23" t="str">
        <x:v>operating_cash_flow</x:v>
      </x:c>
      <x:c r="D23" s="24" t="n">
        <x:f>SUMIFS('quarterly_data'!$D$2:$D$65,'quarterly_data'!$A$2:$A$65,B23&amp;"-Q1",'quarterly_data'!$C$2:$C$65,C23)+SUMIFS('quarterly_data'!$D$2:$D$65,'quarterly_data'!$A$2:$A$65,B23&amp;"-Q2",'quarterly_data'!$C$2:$C$65,C23)+SUMIFS('quarterly_data'!$D$2:$D$65,'quarterly_data'!$A$2:$A$65,B23&amp;"-Q3",'quarterly_data'!$C$2:$C$65,C23)+SUMIFS('quarterly_data'!$D$2:$D$65,'quarterly_data'!$A$2:$A$65,B23&amp;"-Q4",'quarterly_data'!$C$2:$C$65,C23)</x:f>
        <x:v>261219848.70999998</x:v>
      </x:c>
      <x:c r="E23" s="24" t="n">
        <x:f>SUMIFS('annual_data'!$D$2:$D$45,'annual_data'!$A$2:$A$45,B23,'annual_data'!$C$2:$C$45,C23)</x:f>
        <x:v>261219848.71</x:v>
      </x:c>
      <x:c r="F23" s="24" t="n">
        <x:f>ROUND(D23-E23,2)</x:f>
        <x:v>0</x:v>
      </x:c>
    </x:row>
    <x:row r="24">
      <x:c r="A24" t="str">
        <x:v>业务分类合计</x:v>
      </x:c>
      <x:c r="B24" t="n">
        <x:v>2025</x:v>
      </x:c>
      <x:c r="C24" t="str">
        <x:v>revenue</x:v>
      </x:c>
      <x:c r="D24" s="24" t="n">
        <x:f>SUMIFS('business_data'!$D$2:$D$25,'business_data'!$A$2:$A$25,B24,'business_data'!$C$2:$C$25,C24)</x:f>
        <x:v>6721612130.17</x:v>
      </x:c>
      <x:c r="E24" s="24" t="n">
        <x:f>SUMIFS('annual_data'!$D$2:$D$45,'annual_data'!$A$2:$A$45,B24,'annual_data'!$C$2:$C$45,C24)</x:f>
        <x:v>6721612130.17</x:v>
      </x:c>
      <x:c r="F24" s="24" t="n">
        <x:f>ROUND(D24-E24,2)</x:f>
        <x:v>0</x:v>
      </x:c>
    </x:row>
    <x:row r="25">
      <x:c r="A25" t="str">
        <x:v>业务分类合计</x:v>
      </x:c>
      <x:c r="B25" t="n">
        <x:v>2025</x:v>
      </x:c>
      <x:c r="C25" t="str">
        <x:v>cost_of_revenue</x:v>
      </x:c>
      <x:c r="D25" s="24" t="n">
        <x:f>SUMIFS('business_data'!$D$2:$D$25,'business_data'!$A$2:$A$25,B25,'business_data'!$C$2:$C$25,C25)</x:f>
        <x:v>3567623281.8</x:v>
      </x:c>
      <x:c r="E25" s="24" t="n">
        <x:f>SUMIFS('annual_data'!$D$2:$D$45,'annual_data'!$A$2:$A$45,B25,'annual_data'!$C$2:$C$45,C25)</x:f>
        <x:v>3567623281.8</x:v>
      </x:c>
      <x:c r="F25" s="24" t="n">
        <x:f>ROUND(D25-E25,2)</x:f>
        <x:v>0</x:v>
      </x:c>
    </x:row>
    <x:row r="27">
      <x:c r="A27" t="str">
        <x:v>金额精确到分；24项差额应全部为0。跨报告版本差异见使用说明。</x:v>
      </x:c>
      <x:c r="F27" t="str">
        <x:f>IF(COUNTIF(F2:F25,"&lt;&gt;0")=0,"PASS","FAIL")</x:f>
        <x:v>PASS</x:v>
      </x:c>
    </x:row>
  </x:sheetData>
  <x:mergeCells>
    <x:mergeCell ref="A27:E27"/>
  </x:mergeCells>
  <x:conditionalFormatting sqref="F2:F25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85" hidden="0" customWidth="1"/>
    <x:col min="4" max="4" width="48" hidden="0" customWidth="1"/>
    <x:col min="5" max="5" width="17" hidden="0" customWidth="1"/>
  </x:cols>
  <x:sheetData>
    <x:row r="1" ht="34" customHeight="1">
      <x:c r="A1" s="6" t="str">
        <x:v>年报年度</x:v>
      </x:c>
      <x:c r="B1" s="6" t="str">
        <x:v>发布日</x:v>
      </x:c>
      <x:c r="C1" s="6" t="str">
        <x:v>官方PDF链接</x:v>
      </x:c>
      <x:c r="D1" s="6" t="str">
        <x:v>采用表格</x:v>
      </x:c>
      <x:c r="E1" s="6" t="str">
        <x:v>获取日期</x:v>
      </x:c>
    </x:row>
    <x:row r="2" ht="45" customHeight="1">
      <x:c r="A2" s="3" t="n">
        <x:v>2022</x:v>
      </x:c>
      <x:c r="B2" s="3" t="str">
        <x:v>2023-04-12</x:v>
      </x:c>
      <x:c r="C2" s="3" t="str">
        <x:v>https://static.cninfo.com.cn/finalpage/2023-04-12/1216381312.PDF</x:v>
      </x:c>
      <x:c r="D2" s="3" t="str">
        <x:v>主要会计数据、分季度指标、主营业务分析、合并利润表</x:v>
      </x:c>
      <x:c r="E2" s="3" t="str">
        <x:v>2026-08-30</x:v>
      </x:c>
    </x:row>
    <x:row r="3" ht="45" customHeight="1">
      <x:c r="A3" s="3" t="n">
        <x:v>2023</x:v>
      </x:c>
      <x:c r="B3" s="3" t="str">
        <x:v>2024-03-30</x:v>
      </x:c>
      <x:c r="C3" s="3" t="str">
        <x:v>https://static.cninfo.com.cn/finalpage/2024-03-30/1219463249.PDF</x:v>
      </x:c>
      <x:c r="D3" s="3" t="str">
        <x:v>主要会计数据、分季度指标、主营业务分析、合并利润表</x:v>
      </x:c>
      <x:c r="E3" s="3" t="str">
        <x:v>2026-08-30</x:v>
      </x:c>
    </x:row>
    <x:row r="4" ht="45" customHeight="1">
      <x:c r="A4" s="3" t="n">
        <x:v>2024</x:v>
      </x:c>
      <x:c r="B4" s="3" t="str">
        <x:v>2025-04-02</x:v>
      </x:c>
      <x:c r="C4" s="3" t="str">
        <x:v>https://static.cninfo.com.cn/finalpage/2025-04-02/1222983627.PDF</x:v>
      </x:c>
      <x:c r="D4" s="3" t="str">
        <x:v>主要会计数据、分季度指标、主营业务分析、合并利润表</x:v>
      </x:c>
      <x:c r="E4" s="3" t="str">
        <x:v>2026-08-30</x:v>
      </x:c>
    </x:row>
    <x:row r="5" ht="45" customHeight="1">
      <x:c r="A5" s="3" t="n">
        <x:v>2025</x:v>
      </x:c>
      <x:c r="B5" s="3" t="str">
        <x:v>2026-04-01</x:v>
      </x:c>
      <x:c r="C5" s="3" t="str">
        <x:v>https://static.cninfo.com.cn/finalpage/2026-04-01/1225066431.PDF</x:v>
      </x:c>
      <x:c r="D5" s="3" t="str">
        <x:v>主要会计数据、分季度指标、主营业务分析、合并利润表</x:v>
      </x:c>
      <x:c r="E5" s="3" t="str">
        <x:v>2026-08-30</x:v>
      </x:c>
    </x:row>
  </x:sheetData>
  <x:pageMargins left="0.7" right="0.7" top="0.75" bottom="0.75" header="0.3" footer="0.3"/>
</x:worksheet>
</file>